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13_ncr:1_{5CC1FADA-1971-4024-8A8B-8973DBD17C1C}" xr6:coauthVersionLast="47" xr6:coauthVersionMax="47" xr10:uidLastSave="{00000000-0000-0000-0000-000000000000}"/>
  <bookViews>
    <workbookView xWindow="-110" yWindow="-110" windowWidth="19420" windowHeight="10300" firstSheet="1" activeTab="2" xr2:uid="{C40D1605-C99E-F847-8351-F58137C408D3}"/>
  </bookViews>
  <sheets>
    <sheet name="DETAILPER TARIF" sheetId="2" r:id="rId1"/>
    <sheet name="Lembar1" sheetId="1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3" l="1"/>
  <c r="D9" i="3"/>
  <c r="G8" i="3"/>
  <c r="G3" i="3"/>
  <c r="F4" i="3"/>
  <c r="G4" i="3" s="1"/>
  <c r="F5" i="3"/>
  <c r="G5" i="3" s="1"/>
  <c r="F6" i="3"/>
  <c r="G6" i="3" s="1"/>
  <c r="F7" i="3"/>
  <c r="G7" i="3" s="1"/>
  <c r="F8" i="3"/>
  <c r="F3" i="3"/>
  <c r="E3" i="3"/>
  <c r="E4" i="3" s="1"/>
  <c r="E5" i="3" s="1"/>
  <c r="E6" i="3" s="1"/>
  <c r="E7" i="3" s="1"/>
  <c r="E8" i="3" s="1"/>
  <c r="C13" i="3" l="1"/>
  <c r="G9" i="3"/>
  <c r="C12" i="3" s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39" i="1"/>
  <c r="C63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39" i="1"/>
  <c r="I13" i="2"/>
  <c r="F15" i="1" s="1"/>
  <c r="I11" i="2"/>
  <c r="F13" i="1" s="1"/>
  <c r="F45" i="1" s="1"/>
  <c r="I8" i="2"/>
  <c r="F10" i="1" s="1"/>
  <c r="I7" i="2"/>
  <c r="F9" i="1" s="1"/>
  <c r="F41" i="1" s="1"/>
  <c r="I16" i="2"/>
  <c r="F18" i="1" s="1"/>
  <c r="F50" i="1" s="1"/>
  <c r="I15" i="2"/>
  <c r="F17" i="1" s="1"/>
  <c r="I14" i="2"/>
  <c r="F16" i="1" s="1"/>
  <c r="F48" i="1" s="1"/>
  <c r="O14" i="2"/>
  <c r="H16" i="1" s="1"/>
  <c r="K16" i="1" s="1"/>
  <c r="O13" i="2"/>
  <c r="H15" i="1" s="1"/>
  <c r="K15" i="1" s="1"/>
  <c r="O12" i="2"/>
  <c r="H14" i="1" s="1"/>
  <c r="K14" i="1" s="1"/>
  <c r="O11" i="2"/>
  <c r="H13" i="1" s="1"/>
  <c r="K13" i="1" s="1"/>
  <c r="O10" i="2"/>
  <c r="H12" i="1" s="1"/>
  <c r="O9" i="2"/>
  <c r="H11" i="1" s="1"/>
  <c r="K11" i="1" s="1"/>
  <c r="O8" i="2"/>
  <c r="H10" i="1" s="1"/>
  <c r="O7" i="2"/>
  <c r="H9" i="1" s="1"/>
  <c r="K9" i="1" s="1"/>
  <c r="O6" i="2"/>
  <c r="H8" i="1" s="1"/>
  <c r="K8" i="1" s="1"/>
  <c r="O5" i="2"/>
  <c r="H7" i="1" s="1"/>
  <c r="I8" i="1" s="1"/>
  <c r="O16" i="2"/>
  <c r="H18" i="1" s="1"/>
  <c r="K18" i="1" s="1"/>
  <c r="O15" i="2"/>
  <c r="H17" i="1" s="1"/>
  <c r="I17" i="1" s="1"/>
  <c r="O28" i="2"/>
  <c r="H30" i="1" s="1"/>
  <c r="O27" i="2"/>
  <c r="H29" i="1" s="1"/>
  <c r="O26" i="2"/>
  <c r="H28" i="1" s="1"/>
  <c r="K28" i="1" s="1"/>
  <c r="O25" i="2"/>
  <c r="H27" i="1" s="1"/>
  <c r="K27" i="1" s="1"/>
  <c r="O24" i="2"/>
  <c r="H26" i="1" s="1"/>
  <c r="K26" i="1" s="1"/>
  <c r="O23" i="2"/>
  <c r="H25" i="1" s="1"/>
  <c r="K25" i="1" s="1"/>
  <c r="O21" i="2"/>
  <c r="H23" i="1" s="1"/>
  <c r="O19" i="2"/>
  <c r="O18" i="2"/>
  <c r="H20" i="1" s="1"/>
  <c r="O17" i="2"/>
  <c r="I25" i="2"/>
  <c r="I24" i="2"/>
  <c r="I20" i="2"/>
  <c r="I19" i="2"/>
  <c r="I18" i="2"/>
  <c r="I17" i="2"/>
  <c r="I28" i="2"/>
  <c r="I27" i="2"/>
  <c r="I26" i="2"/>
  <c r="G45" i="1" l="1"/>
  <c r="G50" i="1"/>
  <c r="G49" i="1"/>
  <c r="G41" i="1"/>
  <c r="L16" i="1"/>
  <c r="I9" i="1"/>
  <c r="G42" i="1"/>
  <c r="L28" i="1"/>
  <c r="M28" i="1" s="1"/>
  <c r="I10" i="1"/>
  <c r="G17" i="1"/>
  <c r="G48" i="1"/>
  <c r="G47" i="1"/>
  <c r="I12" i="1"/>
  <c r="G10" i="1"/>
  <c r="F42" i="1"/>
  <c r="K10" i="1"/>
  <c r="L10" i="1" s="1"/>
  <c r="F49" i="1"/>
  <c r="G16" i="1"/>
  <c r="I16" i="1"/>
  <c r="F47" i="1"/>
  <c r="E63" i="1"/>
  <c r="L26" i="1"/>
  <c r="I15" i="1"/>
  <c r="K7" i="1"/>
  <c r="L8" i="1" s="1"/>
  <c r="I26" i="1"/>
  <c r="D63" i="1"/>
  <c r="L27" i="1"/>
  <c r="I27" i="1"/>
  <c r="I29" i="1"/>
  <c r="G18" i="1"/>
  <c r="I18" i="1"/>
  <c r="L9" i="1"/>
  <c r="I28" i="1"/>
  <c r="I30" i="1"/>
  <c r="K17" i="1"/>
  <c r="L17" i="1" s="1"/>
  <c r="L14" i="1"/>
  <c r="L15" i="1"/>
  <c r="I11" i="1"/>
  <c r="I14" i="1"/>
  <c r="I13" i="1"/>
  <c r="K20" i="1"/>
  <c r="K23" i="1"/>
  <c r="K30" i="1"/>
  <c r="K29" i="1"/>
  <c r="L29" i="1" s="1"/>
  <c r="M29" i="1" s="1"/>
  <c r="K12" i="1"/>
  <c r="L12" i="1" s="1"/>
  <c r="I10" i="2"/>
  <c r="F12" i="1" s="1"/>
  <c r="I9" i="2"/>
  <c r="F11" i="1" s="1"/>
  <c r="I12" i="2"/>
  <c r="F14" i="1" s="1"/>
  <c r="I6" i="2"/>
  <c r="F8" i="1" s="1"/>
  <c r="I5" i="2"/>
  <c r="F7" i="1" s="1"/>
  <c r="O20" i="2"/>
  <c r="H22" i="1" s="1"/>
  <c r="I23" i="1" s="1"/>
  <c r="O22" i="2"/>
  <c r="H24" i="1" s="1"/>
  <c r="I21" i="2"/>
  <c r="F23" i="1" s="1"/>
  <c r="I22" i="2"/>
  <c r="F24" i="1" s="1"/>
  <c r="I23" i="2"/>
  <c r="H19" i="1"/>
  <c r="H21" i="1"/>
  <c r="F20" i="1"/>
  <c r="F21" i="1"/>
  <c r="F22" i="1"/>
  <c r="F25" i="1"/>
  <c r="F26" i="1"/>
  <c r="F27" i="1"/>
  <c r="F28" i="1"/>
  <c r="F29" i="1"/>
  <c r="F30" i="1"/>
  <c r="F19" i="1"/>
  <c r="G51" i="1" l="1"/>
  <c r="G53" i="1"/>
  <c r="G43" i="1"/>
  <c r="F57" i="1"/>
  <c r="G54" i="1"/>
  <c r="F89" i="1"/>
  <c r="G89" i="1" s="1"/>
  <c r="G59" i="1"/>
  <c r="F44" i="1"/>
  <c r="G55" i="1"/>
  <c r="F84" i="1"/>
  <c r="G84" i="1" s="1"/>
  <c r="F62" i="1"/>
  <c r="F52" i="1"/>
  <c r="F39" i="1"/>
  <c r="C15" i="3"/>
  <c r="C16" i="3"/>
  <c r="F61" i="1"/>
  <c r="G40" i="1"/>
  <c r="F69" i="1"/>
  <c r="G69" i="1" s="1"/>
  <c r="G62" i="1"/>
  <c r="G57" i="1"/>
  <c r="M26" i="1"/>
  <c r="G52" i="1"/>
  <c r="G28" i="1"/>
  <c r="F60" i="1"/>
  <c r="G26" i="1"/>
  <c r="F58" i="1"/>
  <c r="G61" i="1"/>
  <c r="G60" i="1"/>
  <c r="G22" i="1"/>
  <c r="F54" i="1"/>
  <c r="L11" i="1"/>
  <c r="G39" i="1"/>
  <c r="G24" i="1"/>
  <c r="F56" i="1"/>
  <c r="G23" i="1"/>
  <c r="F55" i="1"/>
  <c r="G19" i="1"/>
  <c r="F51" i="1"/>
  <c r="G21" i="1"/>
  <c r="F53" i="1"/>
  <c r="G56" i="1"/>
  <c r="G8" i="1"/>
  <c r="F40" i="1"/>
  <c r="G14" i="1"/>
  <c r="F46" i="1"/>
  <c r="G27" i="1"/>
  <c r="F59" i="1"/>
  <c r="G11" i="1"/>
  <c r="F43" i="1"/>
  <c r="G46" i="1"/>
  <c r="G44" i="1"/>
  <c r="G58" i="1"/>
  <c r="M27" i="1"/>
  <c r="G29" i="1"/>
  <c r="L18" i="1"/>
  <c r="I21" i="1"/>
  <c r="K21" i="1"/>
  <c r="L21" i="1" s="1"/>
  <c r="M21" i="1" s="1"/>
  <c r="G12" i="1"/>
  <c r="I24" i="1"/>
  <c r="K24" i="1"/>
  <c r="I25" i="1"/>
  <c r="I22" i="1"/>
  <c r="K22" i="1"/>
  <c r="K19" i="1"/>
  <c r="L19" i="1" s="1"/>
  <c r="I19" i="1"/>
  <c r="G15" i="1"/>
  <c r="G25" i="1"/>
  <c r="L13" i="1"/>
  <c r="I20" i="1"/>
  <c r="L30" i="1"/>
  <c r="G13" i="1"/>
  <c r="G30" i="1"/>
  <c r="G20" i="1"/>
  <c r="B39" i="1"/>
  <c r="B68" i="1" s="1"/>
  <c r="F88" i="1" s="1"/>
  <c r="G88" i="1" s="1"/>
  <c r="G9" i="1"/>
  <c r="C17" i="3" l="1"/>
  <c r="F80" i="1"/>
  <c r="G80" i="1" s="1"/>
  <c r="F90" i="1"/>
  <c r="G90" i="1" s="1"/>
  <c r="F73" i="1"/>
  <c r="G73" i="1" s="1"/>
  <c r="F83" i="1"/>
  <c r="G83" i="1" s="1"/>
  <c r="F72" i="1"/>
  <c r="G72" i="1" s="1"/>
  <c r="F85" i="1"/>
  <c r="G85" i="1" s="1"/>
  <c r="F87" i="1"/>
  <c r="G87" i="1" s="1"/>
  <c r="F81" i="1"/>
  <c r="G81" i="1" s="1"/>
  <c r="F68" i="1"/>
  <c r="G68" i="1" s="1"/>
  <c r="F91" i="1"/>
  <c r="G91" i="1" s="1"/>
  <c r="F70" i="1"/>
  <c r="G70" i="1" s="1"/>
  <c r="F78" i="1"/>
  <c r="G78" i="1" s="1"/>
  <c r="F79" i="1"/>
  <c r="G79" i="1" s="1"/>
  <c r="F77" i="1"/>
  <c r="G77" i="1" s="1"/>
  <c r="F71" i="1"/>
  <c r="G71" i="1" s="1"/>
  <c r="F76" i="1"/>
  <c r="G76" i="1" s="1"/>
  <c r="F74" i="1"/>
  <c r="G74" i="1" s="1"/>
  <c r="F86" i="1"/>
  <c r="G86" i="1" s="1"/>
  <c r="F82" i="1"/>
  <c r="G82" i="1" s="1"/>
  <c r="F75" i="1"/>
  <c r="G75" i="1" s="1"/>
  <c r="F63" i="1"/>
  <c r="K40" i="1" s="1"/>
  <c r="G31" i="1"/>
  <c r="L46" i="1" s="1"/>
  <c r="G63" i="1"/>
  <c r="K42" i="1" s="1"/>
  <c r="M30" i="1"/>
  <c r="L22" i="1"/>
  <c r="M22" i="1" s="1"/>
  <c r="L24" i="1"/>
  <c r="M24" i="1" s="1"/>
  <c r="L25" i="1"/>
  <c r="M25" i="1" s="1"/>
  <c r="L23" i="1"/>
  <c r="M23" i="1" s="1"/>
  <c r="L20" i="1"/>
  <c r="M20" i="1" s="1"/>
  <c r="G92" i="1" l="1"/>
  <c r="K41" i="1"/>
  <c r="C74" i="1" l="1"/>
  <c r="D74" i="1" s="1"/>
  <c r="E74" i="1" s="1"/>
  <c r="C82" i="1"/>
  <c r="D82" i="1" s="1"/>
  <c r="E82" i="1" s="1"/>
  <c r="C90" i="1"/>
  <c r="D90" i="1" s="1"/>
  <c r="E90" i="1" s="1"/>
  <c r="C76" i="1"/>
  <c r="D76" i="1" s="1"/>
  <c r="E76" i="1" s="1"/>
  <c r="C84" i="1"/>
  <c r="D84" i="1" s="1"/>
  <c r="E84" i="1" s="1"/>
  <c r="C68" i="1"/>
  <c r="D68" i="1" s="1"/>
  <c r="E68" i="1" s="1"/>
  <c r="C69" i="1"/>
  <c r="D69" i="1" s="1"/>
  <c r="E69" i="1" s="1"/>
  <c r="C85" i="1"/>
  <c r="D85" i="1" s="1"/>
  <c r="E85" i="1" s="1"/>
  <c r="C70" i="1"/>
  <c r="D70" i="1" s="1"/>
  <c r="E70" i="1" s="1"/>
  <c r="C86" i="1"/>
  <c r="D86" i="1" s="1"/>
  <c r="E86" i="1" s="1"/>
  <c r="C71" i="1"/>
  <c r="D71" i="1" s="1"/>
  <c r="E71" i="1" s="1"/>
  <c r="C87" i="1"/>
  <c r="D87" i="1" s="1"/>
  <c r="E87" i="1" s="1"/>
  <c r="C80" i="1"/>
  <c r="D80" i="1" s="1"/>
  <c r="E80" i="1" s="1"/>
  <c r="C81" i="1"/>
  <c r="D81" i="1" s="1"/>
  <c r="E81" i="1" s="1"/>
  <c r="C75" i="1"/>
  <c r="D75" i="1" s="1"/>
  <c r="E75" i="1" s="1"/>
  <c r="C83" i="1"/>
  <c r="D83" i="1" s="1"/>
  <c r="E83" i="1" s="1"/>
  <c r="C91" i="1"/>
  <c r="D91" i="1" s="1"/>
  <c r="E91" i="1" s="1"/>
  <c r="C72" i="1"/>
  <c r="D72" i="1" s="1"/>
  <c r="E72" i="1" s="1"/>
  <c r="C89" i="1"/>
  <c r="D89" i="1" s="1"/>
  <c r="E89" i="1" s="1"/>
  <c r="C77" i="1"/>
  <c r="D77" i="1" s="1"/>
  <c r="E77" i="1" s="1"/>
  <c r="C78" i="1"/>
  <c r="D78" i="1" s="1"/>
  <c r="E78" i="1" s="1"/>
  <c r="C79" i="1"/>
  <c r="D79" i="1" s="1"/>
  <c r="E79" i="1" s="1"/>
  <c r="C73" i="1"/>
  <c r="D73" i="1" s="1"/>
  <c r="E73" i="1" s="1"/>
  <c r="C88" i="1"/>
  <c r="D88" i="1" s="1"/>
  <c r="E88" i="1" s="1"/>
  <c r="E92" i="1" l="1"/>
  <c r="J69" i="1" s="1"/>
</calcChain>
</file>

<file path=xl/sharedStrings.xml><?xml version="1.0" encoding="utf-8"?>
<sst xmlns="http://schemas.openxmlformats.org/spreadsheetml/2006/main" count="115" uniqueCount="80">
  <si>
    <t>No</t>
  </si>
  <si>
    <t>Tahun</t>
  </si>
  <si>
    <t>Jumlah Pelanggan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</si>
  <si>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</si>
  <si>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</si>
  <si>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</si>
  <si>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</si>
  <si>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</si>
  <si>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</si>
  <si>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</si>
  <si>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</si>
  <si>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</si>
  <si>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</si>
  <si>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</si>
  <si>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</si>
  <si>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</si>
  <si>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kwh  jual ( kwh )</t>
  </si>
  <si>
    <t>DATA PENJUALAN  PLN UP3 MALANG</t>
  </si>
  <si>
    <t>NO</t>
  </si>
  <si>
    <t>TAHUN</t>
  </si>
  <si>
    <t>BULAN</t>
  </si>
  <si>
    <t>S</t>
  </si>
  <si>
    <t>R</t>
  </si>
  <si>
    <t>B</t>
  </si>
  <si>
    <t>I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</si>
  <si>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</si>
  <si>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</si>
  <si>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</si>
  <si>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</si>
  <si>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</si>
  <si>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</si>
  <si>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</si>
  <si>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</si>
  <si>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</si>
  <si>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</si>
  <si>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</si>
  <si>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</si>
  <si>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</si>
  <si>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TOTAL</t>
  </si>
  <si>
    <t>JUMLAH KWH PENJUALAN  PER TARIF ( KWH )</t>
  </si>
  <si>
    <t>JUMLAH PELANGGAN PER TARIF (PLG)</t>
  </si>
  <si>
    <t>DATA PENJUALAN  TAHUN 2024-2025</t>
  </si>
  <si>
    <t>PLN UP3 MALANG</t>
  </si>
  <si>
    <t>DELTA PELANGGAN</t>
  </si>
  <si>
    <t>DELTA KWH JUAL</t>
  </si>
  <si>
    <t>HARI JUAL PER BULAN</t>
  </si>
  <si>
    <t>KWH JUAL PER HARI</t>
  </si>
  <si>
    <t>DELTA JUAL KWH HARIAN</t>
  </si>
  <si>
    <t>THN 2024 VS 2025</t>
  </si>
  <si>
    <t>X</t>
  </si>
  <si>
    <t>X^2</t>
  </si>
  <si>
    <t>X^4</t>
  </si>
  <si>
    <t>XY</t>
  </si>
  <si>
    <t>X^2Y</t>
  </si>
  <si>
    <t>Y</t>
  </si>
  <si>
    <t>b</t>
  </si>
  <si>
    <t>a</t>
  </si>
  <si>
    <t>c</t>
  </si>
  <si>
    <t xml:space="preserve">persamaan tren parabola </t>
  </si>
  <si>
    <t xml:space="preserve">rata-rata pertumbuhan pelanggan </t>
  </si>
  <si>
    <t>jumlah pelanggan cenderung naik, tapi pola kenaikan sedikit melambat</t>
  </si>
  <si>
    <t>koofisien determinasi</t>
  </si>
  <si>
    <t>Y = 1,377,473.99 + 3,711.09 (X) - 1.68 (X^2)</t>
  </si>
  <si>
    <t>R^2</t>
  </si>
  <si>
    <t>sedangkan sisanya (0.37%) dipengaruhi oleh faktor lain di luar model.</t>
  </si>
  <si>
    <t>memiliki kecocokan yang sangat tinggi dalam menggambarkan pertumbuhan jumlah pelanggan.</t>
  </si>
  <si>
    <t>Tabel Distribusi Frekuensi</t>
  </si>
  <si>
    <t>Kelas</t>
  </si>
  <si>
    <t>-</t>
  </si>
  <si>
    <t>Frekuensi</t>
  </si>
  <si>
    <t>Mean</t>
  </si>
  <si>
    <t>Median</t>
  </si>
  <si>
    <t>Modus</t>
  </si>
  <si>
    <t>Range</t>
  </si>
  <si>
    <t>fk*</t>
  </si>
  <si>
    <t>mi</t>
  </si>
  <si>
    <t>mi.fi</t>
  </si>
  <si>
    <t>model tren parabola mampu menjelaskan 99.63% variasi jumlah pelanggan,</t>
  </si>
  <si>
    <t>Nilai Maksimal</t>
  </si>
  <si>
    <t>Nilai Minimal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</si>
</sst>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3" x14ac:knownFonts="1">
    <font>
      <sz val="12"/>
      <color theme="1"/>
      <name val="Aptos Narrow"/>
      <family val="2"/>
      <charset val="1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charset val="1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7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5" xfId="0" applyFill="1" applyBorder="1"/>
    <xf numFmtId="0" fontId="0" fillId="3" borderId="1" xfId="0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7" xfId="0" applyFill="1" applyBorder="1"/>
    <xf numFmtId="0" fontId="0" fillId="4" borderId="8" xfId="0" applyFill="1" applyBorder="1"/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3" borderId="1" xfId="0" applyNumberFormat="1" applyFill="1" applyBorder="1"/>
    <xf numFmtId="3" fontId="0" fillId="4" borderId="1" xfId="0" applyNumberFormat="1" applyFill="1" applyBorder="1"/>
    <xf numFmtId="3" fontId="0" fillId="4" borderId="8" xfId="0" applyNumberFormat="1" applyFill="1" applyBorder="1"/>
    <xf numFmtId="0" fontId="0" fillId="0" borderId="0" xfId="0" applyAlignment="1">
      <alignment horizontal="center"/>
    </xf>
    <xf numFmtId="3" fontId="1" fillId="4" borderId="1" xfId="0" applyNumberFormat="1" applyFont="1" applyFill="1" applyBorder="1"/>
    <xf numFmtId="164" fontId="0" fillId="2" borderId="1" xfId="1" applyNumberFormat="1" applyFont="1" applyFill="1" applyBorder="1" applyAlignment="1">
      <alignment horizontal="center"/>
    </xf>
    <xf numFmtId="164" fontId="0" fillId="0" borderId="6" xfId="1" applyNumberFormat="1" applyFont="1" applyBorder="1"/>
    <xf numFmtId="164" fontId="0" fillId="2" borderId="11" xfId="1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0" xfId="0" applyNumberFormat="1"/>
    <xf numFmtId="43" fontId="0" fillId="0" borderId="0" xfId="0" applyNumberFormat="1"/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43" fontId="0" fillId="0" borderId="1" xfId="0" applyNumberFormat="1" applyBorder="1"/>
    <xf numFmtId="43" fontId="0" fillId="0" borderId="1" xfId="0" applyNumberFormat="1" applyBorder="1" applyAlignment="1">
      <alignment horizontal="center" vertical="center"/>
    </xf>
    <xf numFmtId="0" fontId="0" fillId="7" borderId="1" xfId="0" applyFill="1" applyBorder="1"/>
    <xf numFmtId="43" fontId="0" fillId="2" borderId="1" xfId="0" applyNumberFormat="1" applyFill="1" applyBorder="1"/>
    <xf numFmtId="0" fontId="0" fillId="0" borderId="1" xfId="2" applyNumberFormat="1" applyFont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164" fontId="0" fillId="2" borderId="1" xfId="0" applyNumberFormat="1" applyFill="1" applyBorder="1"/>
    <xf numFmtId="3" fontId="0" fillId="0" borderId="1" xfId="0" applyNumberFormat="1" applyBorder="1"/>
    <xf numFmtId="0" fontId="0" fillId="2" borderId="1" xfId="0" applyFill="1" applyBorder="1"/>
    <xf numFmtId="165" fontId="0" fillId="0" borderId="1" xfId="0" applyNumberFormat="1" applyBorder="1" applyAlignment="1">
      <alignment horizontal="center"/>
    </xf>
    <xf numFmtId="0" fontId="0" fillId="6" borderId="1" xfId="0" applyFill="1" applyBorder="1"/>
    <xf numFmtId="0" fontId="1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9" borderId="0" xfId="0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Pelanggan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859039678863669E-2"/>
          <c:y val="9.9151943462897532E-2"/>
          <c:w val="0.93551057588389686"/>
          <c:h val="0.8581666249316009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Lembar1!$E$7:$E$30</c:f>
              <c:strCache>
                <c:ptCount val="24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  <c:pt idx="12">
                  <c:v>Januari</c:v>
                </c:pt>
                <c:pt idx="13">
                  <c:v>Februari</c:v>
                </c:pt>
                <c:pt idx="14">
                  <c:v>Maret</c:v>
                </c:pt>
                <c:pt idx="15">
                  <c:v>April</c:v>
                </c:pt>
                <c:pt idx="16">
                  <c:v>Mei</c:v>
                </c:pt>
                <c:pt idx="17">
                  <c:v>Juni</c:v>
                </c:pt>
                <c:pt idx="18">
                  <c:v>Juli</c:v>
                </c:pt>
                <c:pt idx="19">
                  <c:v>Agustus</c:v>
                </c:pt>
                <c:pt idx="20">
                  <c:v>September</c:v>
                </c:pt>
                <c:pt idx="21">
                  <c:v>Oktober</c:v>
                </c:pt>
                <c:pt idx="22">
                  <c:v>November</c:v>
                </c:pt>
                <c:pt idx="23">
                  <c:v>Desember</c:v>
                </c:pt>
              </c:strCache>
            </c:strRef>
          </c:cat>
          <c:val>
            <c:numRef>
              <c:f>Lembar1!$F$7:$F$30</c:f>
              <c:numCache>
                <c:formatCode>_(* #,##0_);_(* \(#,##0\);_(* "-"??_);_(@_)</c:formatCode>
                <c:ptCount val="24"/>
                <c:pt idx="0">
                  <c:v>1333762</c:v>
                </c:pt>
                <c:pt idx="1">
                  <c:v>1336620</c:v>
                </c:pt>
                <c:pt idx="2">
                  <c:v>1339773</c:v>
                </c:pt>
                <c:pt idx="3">
                  <c:v>1342185</c:v>
                </c:pt>
                <c:pt idx="4">
                  <c:v>1345977</c:v>
                </c:pt>
                <c:pt idx="5">
                  <c:v>1349742</c:v>
                </c:pt>
                <c:pt idx="6">
                  <c:v>1353944</c:v>
                </c:pt>
                <c:pt idx="7">
                  <c:v>1359043</c:v>
                </c:pt>
                <c:pt idx="8">
                  <c:v>1364673</c:v>
                </c:pt>
                <c:pt idx="9">
                  <c:v>1369244</c:v>
                </c:pt>
                <c:pt idx="10">
                  <c:v>1373404</c:v>
                </c:pt>
                <c:pt idx="11">
                  <c:v>1377216</c:v>
                </c:pt>
                <c:pt idx="12">
                  <c:v>1380672</c:v>
                </c:pt>
                <c:pt idx="13">
                  <c:v>1384049</c:v>
                </c:pt>
                <c:pt idx="14">
                  <c:v>1387620</c:v>
                </c:pt>
                <c:pt idx="15">
                  <c:v>1390355</c:v>
                </c:pt>
                <c:pt idx="16">
                  <c:v>1394247</c:v>
                </c:pt>
                <c:pt idx="17">
                  <c:v>1398106</c:v>
                </c:pt>
                <c:pt idx="18">
                  <c:v>1402306</c:v>
                </c:pt>
                <c:pt idx="19">
                  <c:v>1406475</c:v>
                </c:pt>
                <c:pt idx="20">
                  <c:v>1410489</c:v>
                </c:pt>
                <c:pt idx="21">
                  <c:v>1414438</c:v>
                </c:pt>
                <c:pt idx="22">
                  <c:v>1418796</c:v>
                </c:pt>
                <c:pt idx="23">
                  <c:v>1424059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C-4FD9-B1E7-B17F46359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9941968"/>
        <c:axId val="1209947248"/>
      </c:lineChart>
      <c:catAx>
        <c:axId val="120994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947248"/>
        <c:crosses val="autoZero"/>
        <c:auto val="1"/>
        <c:lblAlgn val="ctr"/>
        <c:lblOffset val="100"/>
        <c:noMultiLvlLbl val="0"/>
      </c:catAx>
      <c:valAx>
        <c:axId val="12099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94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220870</xdr:colOff>
      <xdr:row>38</xdr:row>
      <xdr:rowOff>9204</xdr:rowOff>
    </xdr:from>
    <xdr:to>
      <xdr:col>8</xdr:col>
      <xdr:colOff>1090308</xdr:colOff>
      <xdr:row>44</xdr:row>
      <xdr:rowOff>94776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57257A-9CB0-A46F-9C2A-35C951918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2885" y="7799801"/>
          <a:ext cx="2035184" cy="1279751"/>
        </a:xfrm>
        <a:prstGeom prst="rect">
          <a:avLst/>
        </a:prstGeom>
      </xdr:spPr>
    </xdr:pic>
    <xdr:clientData/>
  </xdr:twoCellAnchor>
  <xdr:oneCellAnchor>
    <xdr:from>
      <xdr:col>2</xdr:col>
      <xdr:colOff>420924</xdr:colOff>
      <xdr:row>66</xdr:row>
      <xdr:rowOff>31784</xdr:rowOff>
    </xdr:from>
    <xdr:ext cx="114840" cy="1822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84AA137-B0A1-04EA-FF3E-71BD870D3016}"/>
                </a:ext>
              </a:extLst>
            </xdr:cNvPr>
            <xdr:cNvSpPr txBox="1"/>
          </xdr:nvSpPr>
          <xdr:spPr>
            <a:xfrm>
              <a:off x="2237161" y="13769633"/>
              <a:ext cx="114840" cy="1822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84AA137-B0A1-04EA-FF3E-71BD870D3016}"/>
                </a:ext>
              </a:extLst>
            </xdr:cNvPr>
            <xdr:cNvSpPr txBox="1"/>
          </xdr:nvSpPr>
          <xdr:spPr>
            <a:xfrm>
              <a:off x="2237161" y="13769633"/>
              <a:ext cx="114840" cy="1822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𝑌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0</xdr:colOff>
      <xdr:row>50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CBF4CFF-CB07-4309-B1FA-BBE75E17D485}"/>
            </a:ext>
          </a:extLst>
        </xdr:cNvPr>
        <xdr:cNvSpPr txBox="1"/>
      </xdr:nvSpPr>
      <xdr:spPr>
        <a:xfrm>
          <a:off x="9391316" y="1025190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50</xdr:row>
      <xdr:rowOff>33251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C66248F-D63A-48B5-8B9B-215719E2AD77}"/>
            </a:ext>
          </a:extLst>
        </xdr:cNvPr>
        <xdr:cNvSpPr txBox="1"/>
      </xdr:nvSpPr>
      <xdr:spPr>
        <a:xfrm>
          <a:off x="9907527" y="1037389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434912</xdr:colOff>
      <xdr:row>66</xdr:row>
      <xdr:rowOff>24366</xdr:rowOff>
    </xdr:from>
    <xdr:ext cx="114840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02AA678-2D63-7F83-4A5D-0F2201696050}"/>
                </a:ext>
              </a:extLst>
            </xdr:cNvPr>
            <xdr:cNvSpPr txBox="1"/>
          </xdr:nvSpPr>
          <xdr:spPr>
            <a:xfrm>
              <a:off x="1274751" y="13762215"/>
              <a:ext cx="114840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02AA678-2D63-7F83-4A5D-0F2201696050}"/>
                </a:ext>
              </a:extLst>
            </xdr:cNvPr>
            <xdr:cNvSpPr txBox="1"/>
          </xdr:nvSpPr>
          <xdr:spPr>
            <a:xfrm>
              <a:off x="1274751" y="13762215"/>
              <a:ext cx="114840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𝑌 ̅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7</xdr:col>
      <xdr:colOff>217464</xdr:colOff>
      <xdr:row>70</xdr:row>
      <xdr:rowOff>52295</xdr:rowOff>
    </xdr:from>
    <xdr:to>
      <xdr:col>8</xdr:col>
      <xdr:colOff>1040334</xdr:colOff>
      <xdr:row>74</xdr:row>
      <xdr:rowOff>45417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D4568F7-579F-53F6-92B5-EA8D0B314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32625" y="14609499"/>
          <a:ext cx="1983623" cy="812477"/>
        </a:xfrm>
        <a:prstGeom prst="rect">
          <a:avLst/>
        </a:prstGeom>
      </xdr:spPr>
    </xdr:pic>
    <xdr:clientData/>
  </xdr:twoCellAnchor>
  <xdr:oneCellAnchor>
    <xdr:from>
      <xdr:col>3</xdr:col>
      <xdr:colOff>218935</xdr:colOff>
      <xdr:row>66</xdr:row>
      <xdr:rowOff>23196</xdr:rowOff>
    </xdr:from>
    <xdr:ext cx="433517" cy="1822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9802E6E-F569-4F75-9E96-9089AC5B20AB}"/>
                </a:ext>
              </a:extLst>
            </xdr:cNvPr>
            <xdr:cNvSpPr txBox="1"/>
          </xdr:nvSpPr>
          <xdr:spPr>
            <a:xfrm>
              <a:off x="3011569" y="13761045"/>
              <a:ext cx="433517" cy="1822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𝑌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−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9802E6E-F569-4F75-9E96-9089AC5B20AB}"/>
                </a:ext>
              </a:extLst>
            </xdr:cNvPr>
            <xdr:cNvSpPr txBox="1"/>
          </xdr:nvSpPr>
          <xdr:spPr>
            <a:xfrm>
              <a:off x="3011569" y="13761045"/>
              <a:ext cx="433517" cy="1822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𝑌 − 𝑌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247029</xdr:colOff>
      <xdr:row>66</xdr:row>
      <xdr:rowOff>6685</xdr:rowOff>
    </xdr:from>
    <xdr:ext cx="644728" cy="1822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4EE6CB8C-4B01-4C5E-B033-24DCEA337F94}"/>
                </a:ext>
              </a:extLst>
            </xdr:cNvPr>
            <xdr:cNvSpPr txBox="1"/>
          </xdr:nvSpPr>
          <xdr:spPr>
            <a:xfrm>
              <a:off x="3879502" y="13744534"/>
              <a:ext cx="644728" cy="1822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𝑌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)^2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4EE6CB8C-4B01-4C5E-B033-24DCEA337F94}"/>
                </a:ext>
              </a:extLst>
            </xdr:cNvPr>
            <xdr:cNvSpPr txBox="1"/>
          </xdr:nvSpPr>
          <xdr:spPr>
            <a:xfrm>
              <a:off x="3879502" y="13744534"/>
              <a:ext cx="644728" cy="1822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(𝑌−𝑌 ̂)^2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457098</xdr:colOff>
      <xdr:row>66</xdr:row>
      <xdr:rowOff>27845</xdr:rowOff>
    </xdr:from>
    <xdr:ext cx="371448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7D2924B7-CBE5-46E7-8DAE-F5E6CBB46436}"/>
                </a:ext>
              </a:extLst>
            </xdr:cNvPr>
            <xdr:cNvSpPr txBox="1"/>
          </xdr:nvSpPr>
          <xdr:spPr>
            <a:xfrm>
              <a:off x="5257152" y="13765694"/>
              <a:ext cx="371448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𝑌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7D2924B7-CBE5-46E7-8DAE-F5E6CBB46436}"/>
                </a:ext>
              </a:extLst>
            </xdr:cNvPr>
            <xdr:cNvSpPr txBox="1"/>
          </xdr:nvSpPr>
          <xdr:spPr>
            <a:xfrm>
              <a:off x="5257152" y="13765694"/>
              <a:ext cx="371448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𝑌−𝑌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433049</xdr:colOff>
      <xdr:row>66</xdr:row>
      <xdr:rowOff>26795</xdr:rowOff>
    </xdr:from>
    <xdr:ext cx="644728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173A57AF-BFB1-4FB0-9C36-7DA63358EA6F}"/>
                </a:ext>
              </a:extLst>
            </xdr:cNvPr>
            <xdr:cNvSpPr txBox="1"/>
          </xdr:nvSpPr>
          <xdr:spPr>
            <a:xfrm>
              <a:off x="6400683" y="13764644"/>
              <a:ext cx="644728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𝑌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)^2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173A57AF-BFB1-4FB0-9C36-7DA63358EA6F}"/>
                </a:ext>
              </a:extLst>
            </xdr:cNvPr>
            <xdr:cNvSpPr txBox="1"/>
          </xdr:nvSpPr>
          <xdr:spPr>
            <a:xfrm>
              <a:off x="6400683" y="13764644"/>
              <a:ext cx="644728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(𝑌−𝑌 ̅)^2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14</xdr:col>
      <xdr:colOff>11519</xdr:colOff>
      <xdr:row>3</xdr:row>
      <xdr:rowOff>177210</xdr:rowOff>
    </xdr:from>
    <xdr:to>
      <xdr:col>29</xdr:col>
      <xdr:colOff>392519</xdr:colOff>
      <xdr:row>30</xdr:row>
      <xdr:rowOff>49029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A6A83C-9DFE-4A81-3E12-1B0AD8579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6047-9A82-407E-A34A-EC73877DAFE3}">
  <dimension ref="A1:O28"/>
  <sheetViews>
    <sheetView zoomScaleNormal="100" workbookViewId="0">
      <selection activeCell="I9" sqref="I9"/>
    </sheetView>
  </sheetViews>
  <sheetFormatPr defaultColWidth="11" defaultRowHeight="16" x14ac:dyDescent="0.4"/>
  <cols>
    <col min="1" max="1" width="5.25" customWidth="1"/>
    <col min="2" max="2" width="8.5" customWidth="1"/>
  </cols>
  <sheetData>
    <row r="1" spans="1:15" x14ac:dyDescent="0.4">
      <c r="A1" s="47" t="s">
        <v>41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5" ht="16.5" thickBot="1" x14ac:dyDescent="0.45">
      <c r="A2" s="48" t="s">
        <v>42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x14ac:dyDescent="0.4">
      <c r="A3" s="51" t="s">
        <v>18</v>
      </c>
      <c r="B3" s="53" t="s">
        <v>19</v>
      </c>
      <c r="C3" s="53" t="s">
        <v>20</v>
      </c>
      <c r="D3" s="49" t="s">
        <v>40</v>
      </c>
      <c r="E3" s="49"/>
      <c r="F3" s="49"/>
      <c r="G3" s="49"/>
      <c r="H3" s="49"/>
      <c r="I3" s="49"/>
      <c r="J3" s="50" t="s">
        <v>39</v>
      </c>
      <c r="K3" s="50"/>
      <c r="L3" s="50"/>
      <c r="M3" s="50"/>
      <c r="N3" s="50"/>
      <c r="O3" s="50"/>
    </row>
    <row r="4" spans="1:15" x14ac:dyDescent="0.4">
      <c r="A4" s="52"/>
      <c r="B4" s="54"/>
      <c r="C4" s="54"/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5" t="s">
        <v>38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2" t="s">
        <v>38</v>
      </c>
    </row>
    <row r="5" spans="1:15" x14ac:dyDescent="0.4">
      <c r="A5" s="6">
        <v>1</v>
      </c>
      <c r="B5" s="7">
        <v>2024</v>
      </c>
      <c r="C5" s="7" t="s">
        <v>26</v>
      </c>
      <c r="D5" s="15">
        <v>33286</v>
      </c>
      <c r="E5" s="15">
        <v>1233417</v>
      </c>
      <c r="F5" s="15">
        <v>58092</v>
      </c>
      <c r="G5" s="15">
        <v>1691</v>
      </c>
      <c r="H5" s="15">
        <v>7276</v>
      </c>
      <c r="I5" s="15">
        <f>SUM(D5:H5)</f>
        <v>1333762</v>
      </c>
      <c r="J5" s="15">
        <v>14699314</v>
      </c>
      <c r="K5" s="15">
        <v>125266546</v>
      </c>
      <c r="L5" s="15">
        <v>44895606</v>
      </c>
      <c r="M5" s="15">
        <v>51646324</v>
      </c>
      <c r="N5" s="15">
        <v>7965188</v>
      </c>
      <c r="O5" s="15">
        <f>SUM(J5:N5)</f>
        <v>244472978</v>
      </c>
    </row>
    <row r="6" spans="1:15" x14ac:dyDescent="0.4">
      <c r="A6" s="6">
        <v>2</v>
      </c>
      <c r="B6" s="7">
        <v>2024</v>
      </c>
      <c r="C6" s="7" t="s">
        <v>27</v>
      </c>
      <c r="D6" s="15">
        <v>33381</v>
      </c>
      <c r="E6" s="15">
        <v>1235927</v>
      </c>
      <c r="F6" s="15">
        <v>58326</v>
      </c>
      <c r="G6" s="15">
        <v>1690</v>
      </c>
      <c r="H6" s="15">
        <v>7296</v>
      </c>
      <c r="I6" s="15">
        <f t="shared" ref="I6:I16" si="0">SUM(D6:H6)</f>
        <v>1336620</v>
      </c>
      <c r="J6" s="15">
        <v>14186304</v>
      </c>
      <c r="K6" s="15">
        <v>118036012</v>
      </c>
      <c r="L6" s="15">
        <v>42425779</v>
      </c>
      <c r="M6" s="15">
        <v>46878400</v>
      </c>
      <c r="N6" s="15">
        <v>7610347</v>
      </c>
      <c r="O6" s="15">
        <f t="shared" ref="O6:O16" si="1">SUM(J6:N6)</f>
        <v>229136842</v>
      </c>
    </row>
    <row r="7" spans="1:15" x14ac:dyDescent="0.4">
      <c r="A7" s="6">
        <v>3</v>
      </c>
      <c r="B7" s="7">
        <v>2024</v>
      </c>
      <c r="C7" s="7" t="s">
        <v>28</v>
      </c>
      <c r="D7" s="15">
        <v>33486</v>
      </c>
      <c r="E7" s="15">
        <v>1238697</v>
      </c>
      <c r="F7" s="15">
        <v>58586</v>
      </c>
      <c r="G7" s="15">
        <v>1694</v>
      </c>
      <c r="H7" s="15">
        <v>7310</v>
      </c>
      <c r="I7" s="15">
        <f t="shared" si="0"/>
        <v>1339773</v>
      </c>
      <c r="J7" s="15">
        <v>15311093</v>
      </c>
      <c r="K7" s="15">
        <v>128398977</v>
      </c>
      <c r="L7" s="15">
        <v>44907342</v>
      </c>
      <c r="M7" s="15">
        <v>50409920</v>
      </c>
      <c r="N7" s="15">
        <v>7827632</v>
      </c>
      <c r="O7" s="15">
        <f t="shared" si="1"/>
        <v>246854964</v>
      </c>
    </row>
    <row r="8" spans="1:15" x14ac:dyDescent="0.4">
      <c r="A8" s="6">
        <v>4</v>
      </c>
      <c r="B8" s="7">
        <v>2024</v>
      </c>
      <c r="C8" s="7" t="s">
        <v>29</v>
      </c>
      <c r="D8" s="15">
        <v>33540</v>
      </c>
      <c r="E8" s="15">
        <v>1240860</v>
      </c>
      <c r="F8" s="15">
        <v>58766</v>
      </c>
      <c r="G8" s="15">
        <v>1696</v>
      </c>
      <c r="H8" s="15">
        <v>7323</v>
      </c>
      <c r="I8" s="15">
        <f t="shared" si="0"/>
        <v>1342185</v>
      </c>
      <c r="J8" s="15">
        <v>13880130</v>
      </c>
      <c r="K8" s="15">
        <v>126636893</v>
      </c>
      <c r="L8" s="15">
        <v>43802890</v>
      </c>
      <c r="M8" s="15">
        <v>40691317</v>
      </c>
      <c r="N8" s="15">
        <v>7599479</v>
      </c>
      <c r="O8" s="15">
        <f t="shared" si="1"/>
        <v>232610709</v>
      </c>
    </row>
    <row r="9" spans="1:15" x14ac:dyDescent="0.4">
      <c r="A9" s="6">
        <v>5</v>
      </c>
      <c r="B9" s="7">
        <v>2024</v>
      </c>
      <c r="C9" s="7" t="s">
        <v>30</v>
      </c>
      <c r="D9" s="15">
        <v>33601</v>
      </c>
      <c r="E9" s="15">
        <v>1244248</v>
      </c>
      <c r="F9" s="15">
        <v>59081</v>
      </c>
      <c r="G9" s="15">
        <v>1704</v>
      </c>
      <c r="H9" s="15">
        <v>7343</v>
      </c>
      <c r="I9" s="15">
        <f t="shared" si="0"/>
        <v>1345977</v>
      </c>
      <c r="J9" s="15">
        <v>15647165</v>
      </c>
      <c r="K9" s="15">
        <v>129496742</v>
      </c>
      <c r="L9" s="15">
        <v>47184020</v>
      </c>
      <c r="M9" s="15">
        <v>54084649</v>
      </c>
      <c r="N9" s="15">
        <v>7963068</v>
      </c>
      <c r="O9" s="15">
        <f t="shared" si="1"/>
        <v>254375644</v>
      </c>
    </row>
    <row r="10" spans="1:15" x14ac:dyDescent="0.4">
      <c r="A10" s="6">
        <v>6</v>
      </c>
      <c r="B10" s="7">
        <v>2024</v>
      </c>
      <c r="C10" s="7" t="s">
        <v>31</v>
      </c>
      <c r="D10" s="15">
        <v>33671</v>
      </c>
      <c r="E10" s="15">
        <v>1247598</v>
      </c>
      <c r="F10" s="15">
        <v>59388</v>
      </c>
      <c r="G10" s="15">
        <v>1708</v>
      </c>
      <c r="H10" s="15">
        <v>7377</v>
      </c>
      <c r="I10" s="15">
        <f t="shared" si="0"/>
        <v>1349742</v>
      </c>
      <c r="J10" s="15">
        <v>14305051</v>
      </c>
      <c r="K10" s="15">
        <v>125288112</v>
      </c>
      <c r="L10" s="15">
        <v>45188153</v>
      </c>
      <c r="M10" s="15">
        <v>52775360</v>
      </c>
      <c r="N10" s="15">
        <v>7751756</v>
      </c>
      <c r="O10" s="15">
        <f t="shared" si="1"/>
        <v>245308432</v>
      </c>
    </row>
    <row r="11" spans="1:15" x14ac:dyDescent="0.4">
      <c r="A11" s="6">
        <v>7</v>
      </c>
      <c r="B11" s="7">
        <v>2024</v>
      </c>
      <c r="C11" s="7" t="s">
        <v>32</v>
      </c>
      <c r="D11" s="15">
        <v>33778</v>
      </c>
      <c r="E11" s="15">
        <v>1251365</v>
      </c>
      <c r="F11" s="15">
        <v>59682</v>
      </c>
      <c r="G11" s="15">
        <v>1712</v>
      </c>
      <c r="H11" s="15">
        <v>7407</v>
      </c>
      <c r="I11" s="15">
        <f t="shared" si="0"/>
        <v>1353944</v>
      </c>
      <c r="J11" s="15">
        <v>13971808</v>
      </c>
      <c r="K11" s="15">
        <v>125127669</v>
      </c>
      <c r="L11" s="15">
        <v>45664915</v>
      </c>
      <c r="M11" s="15">
        <v>57038836</v>
      </c>
      <c r="N11" s="15">
        <v>7846503</v>
      </c>
      <c r="O11" s="15">
        <f t="shared" si="1"/>
        <v>249649731</v>
      </c>
    </row>
    <row r="12" spans="1:15" x14ac:dyDescent="0.4">
      <c r="A12" s="6">
        <v>8</v>
      </c>
      <c r="B12" s="7">
        <v>2024</v>
      </c>
      <c r="C12" s="7" t="s">
        <v>33</v>
      </c>
      <c r="D12" s="15">
        <v>33887</v>
      </c>
      <c r="E12" s="15">
        <v>1256008</v>
      </c>
      <c r="F12" s="15">
        <v>59963</v>
      </c>
      <c r="G12" s="15">
        <v>1724</v>
      </c>
      <c r="H12" s="15">
        <v>7461</v>
      </c>
      <c r="I12" s="15">
        <f t="shared" si="0"/>
        <v>1359043</v>
      </c>
      <c r="J12" s="15">
        <v>14739192</v>
      </c>
      <c r="K12" s="15">
        <v>125557506</v>
      </c>
      <c r="L12" s="15">
        <v>45250460</v>
      </c>
      <c r="M12" s="15">
        <v>56293665</v>
      </c>
      <c r="N12" s="15">
        <v>7903727</v>
      </c>
      <c r="O12" s="15">
        <f t="shared" si="1"/>
        <v>249744550</v>
      </c>
    </row>
    <row r="13" spans="1:15" x14ac:dyDescent="0.4">
      <c r="A13" s="6">
        <v>9</v>
      </c>
      <c r="B13" s="7">
        <v>2024</v>
      </c>
      <c r="C13" s="7" t="s">
        <v>34</v>
      </c>
      <c r="D13" s="15">
        <v>33961</v>
      </c>
      <c r="E13" s="15">
        <v>1261220</v>
      </c>
      <c r="F13" s="15">
        <v>60244</v>
      </c>
      <c r="G13" s="15">
        <v>1743</v>
      </c>
      <c r="H13" s="15">
        <v>7505</v>
      </c>
      <c r="I13" s="15">
        <f t="shared" si="0"/>
        <v>1364673</v>
      </c>
      <c r="J13" s="15">
        <v>15758181</v>
      </c>
      <c r="K13" s="15">
        <v>125341455</v>
      </c>
      <c r="L13" s="15">
        <v>45659563</v>
      </c>
      <c r="M13" s="15">
        <v>55758981</v>
      </c>
      <c r="N13" s="15">
        <v>7896790</v>
      </c>
      <c r="O13" s="15">
        <f t="shared" si="1"/>
        <v>250414970</v>
      </c>
    </row>
    <row r="14" spans="1:15" x14ac:dyDescent="0.4">
      <c r="A14" s="6">
        <v>10</v>
      </c>
      <c r="B14" s="7">
        <v>2024</v>
      </c>
      <c r="C14" s="7" t="s">
        <v>35</v>
      </c>
      <c r="D14" s="15">
        <v>34035</v>
      </c>
      <c r="E14" s="15">
        <v>1265315</v>
      </c>
      <c r="F14" s="15">
        <v>60596</v>
      </c>
      <c r="G14" s="15">
        <v>1761</v>
      </c>
      <c r="H14" s="15">
        <v>7537</v>
      </c>
      <c r="I14" s="15">
        <f t="shared" si="0"/>
        <v>1369244</v>
      </c>
      <c r="J14" s="15">
        <v>17474972</v>
      </c>
      <c r="K14" s="15">
        <v>133219484</v>
      </c>
      <c r="L14" s="15">
        <v>49139167</v>
      </c>
      <c r="M14" s="15">
        <v>59986311</v>
      </c>
      <c r="N14" s="15">
        <v>8322192</v>
      </c>
      <c r="O14" s="15">
        <f t="shared" si="1"/>
        <v>268142126</v>
      </c>
    </row>
    <row r="15" spans="1:15" x14ac:dyDescent="0.4">
      <c r="A15" s="6">
        <v>11</v>
      </c>
      <c r="B15" s="7">
        <v>2024</v>
      </c>
      <c r="C15" s="7" t="s">
        <v>36</v>
      </c>
      <c r="D15" s="15">
        <v>34111</v>
      </c>
      <c r="E15" s="15">
        <v>1269002</v>
      </c>
      <c r="F15" s="15">
        <v>60933</v>
      </c>
      <c r="G15" s="15">
        <v>1775</v>
      </c>
      <c r="H15" s="15">
        <v>7583</v>
      </c>
      <c r="I15" s="15">
        <f t="shared" si="0"/>
        <v>1373404</v>
      </c>
      <c r="J15" s="15">
        <v>16871210</v>
      </c>
      <c r="K15" s="15">
        <v>129978043</v>
      </c>
      <c r="L15" s="15">
        <v>47970935</v>
      </c>
      <c r="M15" s="15">
        <v>55681807</v>
      </c>
      <c r="N15" s="15">
        <v>8152362</v>
      </c>
      <c r="O15" s="15">
        <f t="shared" si="1"/>
        <v>258654357</v>
      </c>
    </row>
    <row r="16" spans="1:15" x14ac:dyDescent="0.4">
      <c r="A16" s="6">
        <v>12</v>
      </c>
      <c r="B16" s="7">
        <v>2024</v>
      </c>
      <c r="C16" s="7" t="s">
        <v>37</v>
      </c>
      <c r="D16" s="15">
        <v>34184</v>
      </c>
      <c r="E16" s="15">
        <v>1272307</v>
      </c>
      <c r="F16" s="15">
        <v>61281</v>
      </c>
      <c r="G16" s="15">
        <v>1795</v>
      </c>
      <c r="H16" s="15">
        <v>7649</v>
      </c>
      <c r="I16" s="15">
        <f t="shared" si="0"/>
        <v>1377216</v>
      </c>
      <c r="J16" s="15">
        <v>15674361</v>
      </c>
      <c r="K16" s="15">
        <v>131971537</v>
      </c>
      <c r="L16" s="15">
        <v>49215805</v>
      </c>
      <c r="M16" s="15">
        <v>53032570</v>
      </c>
      <c r="N16" s="15">
        <v>8170841</v>
      </c>
      <c r="O16" s="15">
        <f t="shared" si="1"/>
        <v>258065114</v>
      </c>
    </row>
    <row r="17" spans="1:15" x14ac:dyDescent="0.4">
      <c r="A17" s="8">
        <v>13</v>
      </c>
      <c r="B17" s="9">
        <v>2025</v>
      </c>
      <c r="C17" s="9" t="s">
        <v>26</v>
      </c>
      <c r="D17" s="16">
        <v>34251</v>
      </c>
      <c r="E17" s="16">
        <v>1275351</v>
      </c>
      <c r="F17" s="16">
        <v>61574</v>
      </c>
      <c r="G17" s="16">
        <v>1812</v>
      </c>
      <c r="H17" s="16">
        <v>7684</v>
      </c>
      <c r="I17" s="16">
        <f>SUM(D17:H17)</f>
        <v>1380672</v>
      </c>
      <c r="J17" s="16">
        <v>15104793</v>
      </c>
      <c r="K17" s="16">
        <v>175337041</v>
      </c>
      <c r="L17" s="16">
        <v>48347366</v>
      </c>
      <c r="M17" s="16">
        <v>55504011</v>
      </c>
      <c r="N17" s="16">
        <v>8010952</v>
      </c>
      <c r="O17" s="19">
        <f>SUM(J17:N17)</f>
        <v>302304163</v>
      </c>
    </row>
    <row r="18" spans="1:15" x14ac:dyDescent="0.4">
      <c r="A18" s="8">
        <v>14</v>
      </c>
      <c r="B18" s="9">
        <v>2025</v>
      </c>
      <c r="C18" s="9" t="s">
        <v>27</v>
      </c>
      <c r="D18" s="16">
        <v>34345</v>
      </c>
      <c r="E18" s="16">
        <v>1278292</v>
      </c>
      <c r="F18" s="16">
        <v>61878</v>
      </c>
      <c r="G18" s="16">
        <v>1825</v>
      </c>
      <c r="H18" s="16">
        <v>7709</v>
      </c>
      <c r="I18" s="16">
        <f t="shared" ref="I18:I28" si="2">SUM(D18:H18)</f>
        <v>1384049</v>
      </c>
      <c r="J18" s="16">
        <v>15518843</v>
      </c>
      <c r="K18" s="16">
        <v>156915623</v>
      </c>
      <c r="L18" s="16">
        <v>44349999</v>
      </c>
      <c r="M18" s="16">
        <v>53551751</v>
      </c>
      <c r="N18" s="16">
        <v>7628116</v>
      </c>
      <c r="O18" s="16">
        <f t="shared" ref="O18:O28" si="3">SUM(J18:N18)</f>
        <v>277964332</v>
      </c>
    </row>
    <row r="19" spans="1:15" x14ac:dyDescent="0.4">
      <c r="A19" s="8">
        <v>15</v>
      </c>
      <c r="B19" s="9">
        <v>2025</v>
      </c>
      <c r="C19" s="9" t="s">
        <v>28</v>
      </c>
      <c r="D19" s="16">
        <v>34425</v>
      </c>
      <c r="E19" s="16">
        <v>1281456</v>
      </c>
      <c r="F19" s="16">
        <v>62156</v>
      </c>
      <c r="G19" s="16">
        <v>1843</v>
      </c>
      <c r="H19" s="16">
        <v>7740</v>
      </c>
      <c r="I19" s="16">
        <f t="shared" si="2"/>
        <v>1387620</v>
      </c>
      <c r="J19" s="16">
        <v>15407078</v>
      </c>
      <c r="K19" s="16">
        <v>141912949</v>
      </c>
      <c r="L19" s="16">
        <v>46406877</v>
      </c>
      <c r="M19" s="16">
        <v>54863023</v>
      </c>
      <c r="N19" s="16">
        <v>7819707</v>
      </c>
      <c r="O19" s="16">
        <f t="shared" si="3"/>
        <v>266409634</v>
      </c>
    </row>
    <row r="20" spans="1:15" x14ac:dyDescent="0.4">
      <c r="A20" s="8">
        <v>16</v>
      </c>
      <c r="B20" s="9">
        <v>2025</v>
      </c>
      <c r="C20" s="9" t="s">
        <v>29</v>
      </c>
      <c r="D20" s="16">
        <v>34459</v>
      </c>
      <c r="E20" s="16">
        <v>1283854</v>
      </c>
      <c r="F20" s="16">
        <v>62436</v>
      </c>
      <c r="G20" s="16">
        <v>1855</v>
      </c>
      <c r="H20" s="16">
        <v>7751</v>
      </c>
      <c r="I20" s="16">
        <f t="shared" si="2"/>
        <v>1390355</v>
      </c>
      <c r="J20" s="16">
        <v>14386095</v>
      </c>
      <c r="K20" s="16">
        <v>108977933</v>
      </c>
      <c r="L20" s="16">
        <v>46323657</v>
      </c>
      <c r="M20" s="16">
        <v>49651795</v>
      </c>
      <c r="N20" s="16">
        <v>7743469</v>
      </c>
      <c r="O20" s="16">
        <f t="shared" si="3"/>
        <v>227082949</v>
      </c>
    </row>
    <row r="21" spans="1:15" x14ac:dyDescent="0.4">
      <c r="A21" s="8">
        <v>17</v>
      </c>
      <c r="B21" s="9">
        <v>2025</v>
      </c>
      <c r="C21" s="9" t="s">
        <v>30</v>
      </c>
      <c r="D21" s="16">
        <v>34520</v>
      </c>
      <c r="E21" s="16">
        <v>1287270</v>
      </c>
      <c r="F21" s="16">
        <v>62803</v>
      </c>
      <c r="G21" s="16">
        <v>1874</v>
      </c>
      <c r="H21" s="16">
        <v>7780</v>
      </c>
      <c r="I21" s="16">
        <f t="shared" si="2"/>
        <v>1394247</v>
      </c>
      <c r="J21" s="16">
        <v>15824440</v>
      </c>
      <c r="K21" s="16">
        <v>118618126</v>
      </c>
      <c r="L21" s="16">
        <v>48725946</v>
      </c>
      <c r="M21" s="16">
        <v>58717166</v>
      </c>
      <c r="N21" s="16">
        <v>7951569</v>
      </c>
      <c r="O21" s="16">
        <f t="shared" si="3"/>
        <v>249837247</v>
      </c>
    </row>
    <row r="22" spans="1:15" x14ac:dyDescent="0.4">
      <c r="A22" s="8">
        <v>18</v>
      </c>
      <c r="B22" s="9">
        <v>2025</v>
      </c>
      <c r="C22" s="9" t="s">
        <v>31</v>
      </c>
      <c r="D22" s="16">
        <v>34567</v>
      </c>
      <c r="E22" s="16">
        <v>1290760</v>
      </c>
      <c r="F22" s="16">
        <v>63085</v>
      </c>
      <c r="G22" s="16">
        <v>1891</v>
      </c>
      <c r="H22" s="16">
        <v>7803</v>
      </c>
      <c r="I22" s="16">
        <f t="shared" si="2"/>
        <v>1398106</v>
      </c>
      <c r="J22" s="16">
        <v>15005906</v>
      </c>
      <c r="K22" s="16">
        <v>120512668</v>
      </c>
      <c r="L22" s="16">
        <v>48670322</v>
      </c>
      <c r="M22" s="16">
        <v>55603855</v>
      </c>
      <c r="N22" s="16">
        <v>7628646</v>
      </c>
      <c r="O22" s="16">
        <f t="shared" si="3"/>
        <v>247421397</v>
      </c>
    </row>
    <row r="23" spans="1:15" x14ac:dyDescent="0.4">
      <c r="A23" s="8">
        <v>19</v>
      </c>
      <c r="B23" s="9">
        <v>2025</v>
      </c>
      <c r="C23" s="9" t="s">
        <v>32</v>
      </c>
      <c r="D23" s="16">
        <v>34631</v>
      </c>
      <c r="E23" s="16">
        <v>1294427</v>
      </c>
      <c r="F23" s="16">
        <v>63474</v>
      </c>
      <c r="G23" s="16">
        <v>1928</v>
      </c>
      <c r="H23" s="16">
        <v>7846</v>
      </c>
      <c r="I23" s="16">
        <f t="shared" si="2"/>
        <v>1402306</v>
      </c>
      <c r="J23" s="16">
        <v>14371358</v>
      </c>
      <c r="K23" s="16">
        <v>122722811</v>
      </c>
      <c r="L23" s="16">
        <v>47973844</v>
      </c>
      <c r="M23" s="16">
        <v>61277736</v>
      </c>
      <c r="N23" s="16">
        <v>7668440</v>
      </c>
      <c r="O23" s="16">
        <f t="shared" si="3"/>
        <v>254014189</v>
      </c>
    </row>
    <row r="24" spans="1:15" x14ac:dyDescent="0.4">
      <c r="A24" s="8">
        <v>20</v>
      </c>
      <c r="B24" s="9">
        <v>2025</v>
      </c>
      <c r="C24" s="9" t="s">
        <v>33</v>
      </c>
      <c r="D24" s="16">
        <v>34706</v>
      </c>
      <c r="E24" s="16">
        <v>1298074</v>
      </c>
      <c r="F24" s="16">
        <v>63833</v>
      </c>
      <c r="G24" s="16">
        <v>1975</v>
      </c>
      <c r="H24" s="16">
        <v>7887</v>
      </c>
      <c r="I24" s="16">
        <f t="shared" si="2"/>
        <v>1406475</v>
      </c>
      <c r="J24" s="16">
        <v>15735216</v>
      </c>
      <c r="K24" s="16">
        <v>127282946</v>
      </c>
      <c r="L24" s="16">
        <v>47996606</v>
      </c>
      <c r="M24" s="16">
        <v>58904983</v>
      </c>
      <c r="N24" s="16">
        <v>7795056</v>
      </c>
      <c r="O24" s="16">
        <f t="shared" si="3"/>
        <v>257714807</v>
      </c>
    </row>
    <row r="25" spans="1:15" x14ac:dyDescent="0.4">
      <c r="A25" s="8">
        <v>21</v>
      </c>
      <c r="B25" s="9">
        <v>2025</v>
      </c>
      <c r="C25" s="9" t="s">
        <v>34</v>
      </c>
      <c r="D25" s="16">
        <v>34796</v>
      </c>
      <c r="E25" s="16">
        <v>1301549</v>
      </c>
      <c r="F25" s="16">
        <v>64212</v>
      </c>
      <c r="G25" s="16">
        <v>2014</v>
      </c>
      <c r="H25" s="16">
        <v>7918</v>
      </c>
      <c r="I25" s="16">
        <f t="shared" si="2"/>
        <v>1410489</v>
      </c>
      <c r="J25" s="16">
        <v>16779087</v>
      </c>
      <c r="K25" s="16">
        <v>126873701</v>
      </c>
      <c r="L25" s="16">
        <v>47568078</v>
      </c>
      <c r="M25" s="16">
        <v>61276747</v>
      </c>
      <c r="N25" s="16">
        <v>7762986</v>
      </c>
      <c r="O25" s="16">
        <f t="shared" si="3"/>
        <v>260260599</v>
      </c>
    </row>
    <row r="26" spans="1:15" x14ac:dyDescent="0.4">
      <c r="A26" s="8">
        <v>22</v>
      </c>
      <c r="B26" s="9">
        <v>2025</v>
      </c>
      <c r="C26" s="9" t="s">
        <v>35</v>
      </c>
      <c r="D26" s="16">
        <v>34871</v>
      </c>
      <c r="E26" s="16">
        <v>1305025</v>
      </c>
      <c r="F26" s="16">
        <v>64513</v>
      </c>
      <c r="G26" s="16">
        <v>2054</v>
      </c>
      <c r="H26" s="16">
        <v>7975</v>
      </c>
      <c r="I26" s="16">
        <f t="shared" si="2"/>
        <v>1414438</v>
      </c>
      <c r="J26" s="16">
        <v>18307236</v>
      </c>
      <c r="K26" s="16">
        <v>134785246</v>
      </c>
      <c r="L26" s="16">
        <v>51711704</v>
      </c>
      <c r="M26" s="16">
        <v>63303768</v>
      </c>
      <c r="N26" s="16">
        <v>8113273</v>
      </c>
      <c r="O26" s="16">
        <f t="shared" si="3"/>
        <v>276221227</v>
      </c>
    </row>
    <row r="27" spans="1:15" x14ac:dyDescent="0.4">
      <c r="A27" s="8">
        <v>23</v>
      </c>
      <c r="B27" s="9">
        <v>2025</v>
      </c>
      <c r="C27" s="9" t="s">
        <v>36</v>
      </c>
      <c r="D27" s="16">
        <v>34948</v>
      </c>
      <c r="E27" s="16">
        <v>1308913</v>
      </c>
      <c r="F27" s="16">
        <v>64855</v>
      </c>
      <c r="G27" s="16">
        <v>2068</v>
      </c>
      <c r="H27" s="16">
        <v>8012</v>
      </c>
      <c r="I27" s="16">
        <f t="shared" si="2"/>
        <v>1418796</v>
      </c>
      <c r="J27" s="16">
        <v>16374896</v>
      </c>
      <c r="K27" s="16">
        <v>129694732</v>
      </c>
      <c r="L27" s="16">
        <v>48875160</v>
      </c>
      <c r="M27" s="16">
        <v>62060174</v>
      </c>
      <c r="N27" s="16">
        <v>7744167</v>
      </c>
      <c r="O27" s="16">
        <f t="shared" si="3"/>
        <v>264749129</v>
      </c>
    </row>
    <row r="28" spans="1:15" ht="16.5" thickBot="1" x14ac:dyDescent="0.45">
      <c r="A28" s="10">
        <v>24</v>
      </c>
      <c r="B28" s="11">
        <v>2025</v>
      </c>
      <c r="C28" s="11" t="s">
        <v>37</v>
      </c>
      <c r="D28" s="17">
        <v>35045</v>
      </c>
      <c r="E28" s="17">
        <v>1313684</v>
      </c>
      <c r="F28" s="17">
        <v>65173</v>
      </c>
      <c r="G28" s="17">
        <v>2088</v>
      </c>
      <c r="H28" s="17">
        <v>8069</v>
      </c>
      <c r="I28" s="17">
        <f t="shared" si="2"/>
        <v>1424059</v>
      </c>
      <c r="J28" s="17">
        <v>16967888</v>
      </c>
      <c r="K28" s="17">
        <v>135161463</v>
      </c>
      <c r="L28" s="17">
        <v>52285235</v>
      </c>
      <c r="M28" s="17">
        <v>60501434</v>
      </c>
      <c r="N28" s="17">
        <v>7930409</v>
      </c>
      <c r="O28" s="17">
        <f t="shared" si="3"/>
        <v>272846429</v>
      </c>
    </row>
  </sheetData>
  <mergeCells count="7">
    <mergeCell ref="A1:O1"/>
    <mergeCell ref="A2:O2"/>
    <mergeCell ref="D3:I3"/>
    <mergeCell ref="J3:O3"/>
    <mergeCell ref="A3:A4"/>
    <mergeCell ref="B3:B4"/>
    <mergeCell ref="C3:C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AA53-C2F8-0144-9E67-1248D7EFFD4B}">
  <dimension ref="B5:M93"/>
  <sheetViews>
    <sheetView topLeftCell="A7" zoomScale="63" zoomScaleNormal="76" workbookViewId="0">
      <selection activeCell="H49" sqref="H49"/>
    </sheetView>
  </sheetViews>
  <sheetFormatPr defaultColWidth="11" defaultRowHeight="16" x14ac:dyDescent="0.4"/>
  <cols>
    <col min="2" max="3" width="12.83203125" bestFit="1" customWidth="1"/>
    <col min="5" max="6" width="15.33203125" bestFit="1" customWidth="1"/>
    <col min="7" max="7" width="19" customWidth="1"/>
    <col min="8" max="8" width="15.25" customWidth="1"/>
    <col min="9" max="9" width="14.5" customWidth="1"/>
    <col min="10" max="10" width="16.1640625" customWidth="1"/>
    <col min="11" max="11" width="15.08203125" customWidth="1"/>
    <col min="12" max="12" width="14.33203125" customWidth="1"/>
    <col min="13" max="13" width="13.75" customWidth="1"/>
  </cols>
  <sheetData>
    <row r="5" spans="3:13" ht="16.5" thickBot="1" x14ac:dyDescent="0.45">
      <c r="C5" s="46" t="s">
        <v>17</v>
      </c>
      <c r="D5" s="46"/>
      <c r="E5" s="46"/>
      <c r="F5" s="46"/>
      <c r="G5" s="46"/>
      <c r="H5" s="46"/>
    </row>
    <row r="6" spans="3:13" ht="32" x14ac:dyDescent="0.4">
      <c r="C6" s="13" t="s">
        <v>0</v>
      </c>
      <c r="D6" s="14" t="s">
        <v>1</v>
      </c>
      <c r="E6" s="14" t="s">
        <v>3</v>
      </c>
      <c r="F6" s="14" t="s">
        <v>2</v>
      </c>
      <c r="G6" s="27" t="s">
        <v>43</v>
      </c>
      <c r="H6" s="28" t="s">
        <v>16</v>
      </c>
      <c r="I6" s="23" t="s">
        <v>44</v>
      </c>
      <c r="J6" s="26" t="s">
        <v>45</v>
      </c>
      <c r="K6" s="26" t="s">
        <v>46</v>
      </c>
      <c r="L6" s="26" t="s">
        <v>47</v>
      </c>
      <c r="M6" s="26" t="s">
        <v>48</v>
      </c>
    </row>
    <row r="7" spans="3:13" x14ac:dyDescent="0.4">
      <c r="C7" s="2">
        <v>1</v>
      </c>
      <c r="D7" s="1">
        <v>2024</v>
      </c>
      <c r="E7" s="1" t="s">
        <v>4</v>
      </c>
      <c r="F7" s="20">
        <f>'DETAILPER TARIF'!I5</f>
        <v>1333762</v>
      </c>
      <c r="G7" s="22"/>
      <c r="H7" s="21">
        <f>'DETAILPER TARIF'!O5</f>
        <v>244472978</v>
      </c>
      <c r="J7">
        <v>31</v>
      </c>
      <c r="K7" s="25">
        <f>H7/J7</f>
        <v>7886225.0967741935</v>
      </c>
    </row>
    <row r="8" spans="3:13" x14ac:dyDescent="0.4">
      <c r="C8" s="2">
        <v>2</v>
      </c>
      <c r="D8" s="1">
        <v>2024</v>
      </c>
      <c r="E8" s="1" t="s">
        <v>5</v>
      </c>
      <c r="F8" s="20">
        <f>'DETAILPER TARIF'!I6</f>
        <v>1336620</v>
      </c>
      <c r="G8" s="22">
        <f>F8-F7</f>
        <v>2858</v>
      </c>
      <c r="H8" s="21">
        <f>'DETAILPER TARIF'!O6</f>
        <v>229136842</v>
      </c>
      <c r="I8" s="24">
        <f>H8-H7</f>
        <v>-15336136</v>
      </c>
      <c r="J8">
        <v>28</v>
      </c>
      <c r="K8" s="25">
        <f t="shared" ref="K8:K30" si="0">H8/J8</f>
        <v>8183458.6428571427</v>
      </c>
      <c r="L8" s="25">
        <f>K8-K7</f>
        <v>297233.54608294927</v>
      </c>
    </row>
    <row r="9" spans="3:13" x14ac:dyDescent="0.4">
      <c r="C9" s="2">
        <v>3</v>
      </c>
      <c r="D9" s="1">
        <v>2024</v>
      </c>
      <c r="E9" s="1" t="s">
        <v>6</v>
      </c>
      <c r="F9" s="20">
        <f>'DETAILPER TARIF'!I7</f>
        <v>1339773</v>
      </c>
      <c r="G9" s="22">
        <f t="shared" ref="G9:G30" si="1">F9-F8</f>
        <v>3153</v>
      </c>
      <c r="H9" s="21">
        <f>'DETAILPER TARIF'!O7</f>
        <v>246854964</v>
      </c>
      <c r="I9" s="24">
        <f t="shared" ref="I9:I30" si="2">H9-H8</f>
        <v>17718122</v>
      </c>
      <c r="J9">
        <v>31</v>
      </c>
      <c r="K9" s="25">
        <f t="shared" si="0"/>
        <v>7963063.3548387093</v>
      </c>
      <c r="L9" s="25">
        <f t="shared" ref="L9:L30" si="3">K9-K8</f>
        <v>-220395.28801843338</v>
      </c>
    </row>
    <row r="10" spans="3:13" x14ac:dyDescent="0.4">
      <c r="C10" s="2">
        <v>4</v>
      </c>
      <c r="D10" s="1">
        <v>2024</v>
      </c>
      <c r="E10" s="1" t="s">
        <v>7</v>
      </c>
      <c r="F10" s="20">
        <f>'DETAILPER TARIF'!I8</f>
        <v>1342185</v>
      </c>
      <c r="G10" s="22">
        <f t="shared" si="1"/>
        <v>2412</v>
      </c>
      <c r="H10" s="21">
        <f>'DETAILPER TARIF'!O8</f>
        <v>232610709</v>
      </c>
      <c r="I10" s="24">
        <f t="shared" si="2"/>
        <v>-14244255</v>
      </c>
      <c r="J10">
        <v>30</v>
      </c>
      <c r="K10" s="25">
        <f t="shared" si="0"/>
        <v>7753690.2999999998</v>
      </c>
      <c r="L10" s="25">
        <f t="shared" si="3"/>
        <v>-209373.05483870953</v>
      </c>
    </row>
    <row r="11" spans="3:13" x14ac:dyDescent="0.4">
      <c r="C11" s="2">
        <v>5</v>
      </c>
      <c r="D11" s="1">
        <v>2024</v>
      </c>
      <c r="E11" s="1" t="s">
        <v>8</v>
      </c>
      <c r="F11" s="20">
        <f>'DETAILPER TARIF'!I9</f>
        <v>1345977</v>
      </c>
      <c r="G11" s="22">
        <f t="shared" si="1"/>
        <v>3792</v>
      </c>
      <c r="H11" s="21">
        <f>'DETAILPER TARIF'!O9</f>
        <v>254375644</v>
      </c>
      <c r="I11" s="24">
        <f t="shared" si="2"/>
        <v>21764935</v>
      </c>
      <c r="J11">
        <v>31</v>
      </c>
      <c r="K11" s="25">
        <f t="shared" si="0"/>
        <v>8205665.935483871</v>
      </c>
      <c r="L11" s="25">
        <f t="shared" si="3"/>
        <v>451975.63548387121</v>
      </c>
    </row>
    <row r="12" spans="3:13" x14ac:dyDescent="0.4">
      <c r="C12" s="2">
        <v>6</v>
      </c>
      <c r="D12" s="1">
        <v>2024</v>
      </c>
      <c r="E12" s="1" t="s">
        <v>9</v>
      </c>
      <c r="F12" s="20">
        <f>'DETAILPER TARIF'!I10</f>
        <v>1349742</v>
      </c>
      <c r="G12" s="22">
        <f t="shared" si="1"/>
        <v>3765</v>
      </c>
      <c r="H12" s="21">
        <f>'DETAILPER TARIF'!O10</f>
        <v>245308432</v>
      </c>
      <c r="I12" s="24">
        <f t="shared" si="2"/>
        <v>-9067212</v>
      </c>
      <c r="J12">
        <v>30</v>
      </c>
      <c r="K12" s="25">
        <f t="shared" si="0"/>
        <v>8176947.7333333334</v>
      </c>
      <c r="L12" s="25">
        <f t="shared" si="3"/>
        <v>-28718.202150537632</v>
      </c>
    </row>
    <row r="13" spans="3:13" x14ac:dyDescent="0.4">
      <c r="C13" s="2">
        <v>7</v>
      </c>
      <c r="D13" s="1">
        <v>2024</v>
      </c>
      <c r="E13" s="1" t="s">
        <v>10</v>
      </c>
      <c r="F13" s="20">
        <f>'DETAILPER TARIF'!I11</f>
        <v>1353944</v>
      </c>
      <c r="G13" s="22">
        <f t="shared" si="1"/>
        <v>4202</v>
      </c>
      <c r="H13" s="21">
        <f>'DETAILPER TARIF'!O11</f>
        <v>249649731</v>
      </c>
      <c r="I13" s="24">
        <f t="shared" si="2"/>
        <v>4341299</v>
      </c>
      <c r="J13">
        <v>31</v>
      </c>
      <c r="K13" s="25">
        <f t="shared" si="0"/>
        <v>8053217.1290322579</v>
      </c>
      <c r="L13" s="25">
        <f t="shared" si="3"/>
        <v>-123730.60430107545</v>
      </c>
    </row>
    <row r="14" spans="3:13" x14ac:dyDescent="0.4">
      <c r="C14" s="2">
        <v>8</v>
      </c>
      <c r="D14" s="1">
        <v>2024</v>
      </c>
      <c r="E14" s="1" t="s">
        <v>11</v>
      </c>
      <c r="F14" s="20">
        <f>'DETAILPER TARIF'!I12</f>
        <v>1359043</v>
      </c>
      <c r="G14" s="22">
        <f t="shared" si="1"/>
        <v>5099</v>
      </c>
      <c r="H14" s="21">
        <f>'DETAILPER TARIF'!O12</f>
        <v>249744550</v>
      </c>
      <c r="I14" s="24">
        <f t="shared" si="2"/>
        <v>94819</v>
      </c>
      <c r="J14">
        <v>31</v>
      </c>
      <c r="K14" s="25">
        <f t="shared" si="0"/>
        <v>8056275.8064516131</v>
      </c>
      <c r="L14" s="25">
        <f t="shared" si="3"/>
        <v>3058.6774193551391</v>
      </c>
    </row>
    <row r="15" spans="3:13" x14ac:dyDescent="0.4">
      <c r="C15" s="2">
        <v>9</v>
      </c>
      <c r="D15" s="1">
        <v>2024</v>
      </c>
      <c r="E15" s="1" t="s">
        <v>12</v>
      </c>
      <c r="F15" s="20">
        <f>'DETAILPER TARIF'!I13</f>
        <v>1364673</v>
      </c>
      <c r="G15" s="22">
        <f t="shared" si="1"/>
        <v>5630</v>
      </c>
      <c r="H15" s="21">
        <f>'DETAILPER TARIF'!O13</f>
        <v>250414970</v>
      </c>
      <c r="I15" s="24">
        <f t="shared" si="2"/>
        <v>670420</v>
      </c>
      <c r="J15">
        <v>30</v>
      </c>
      <c r="K15" s="25">
        <f t="shared" si="0"/>
        <v>8347165.666666667</v>
      </c>
      <c r="L15" s="25">
        <f t="shared" si="3"/>
        <v>290889.86021505389</v>
      </c>
    </row>
    <row r="16" spans="3:13" x14ac:dyDescent="0.4">
      <c r="C16" s="2">
        <v>10</v>
      </c>
      <c r="D16" s="1">
        <v>2024</v>
      </c>
      <c r="E16" s="1" t="s">
        <v>13</v>
      </c>
      <c r="F16" s="20">
        <f>'DETAILPER TARIF'!I14</f>
        <v>1369244</v>
      </c>
      <c r="G16" s="22">
        <f t="shared" si="1"/>
        <v>4571</v>
      </c>
      <c r="H16" s="21">
        <f>'DETAILPER TARIF'!O14</f>
        <v>268142126</v>
      </c>
      <c r="I16" s="24">
        <f t="shared" si="2"/>
        <v>17727156</v>
      </c>
      <c r="J16">
        <v>31</v>
      </c>
      <c r="K16" s="25">
        <f t="shared" si="0"/>
        <v>8649746</v>
      </c>
      <c r="L16" s="25">
        <f t="shared" si="3"/>
        <v>302580.33333333302</v>
      </c>
    </row>
    <row r="17" spans="3:13" x14ac:dyDescent="0.4">
      <c r="C17" s="2">
        <v>11</v>
      </c>
      <c r="D17" s="1">
        <v>2024</v>
      </c>
      <c r="E17" s="1" t="s">
        <v>14</v>
      </c>
      <c r="F17" s="20">
        <f>'DETAILPER TARIF'!I15</f>
        <v>1373404</v>
      </c>
      <c r="G17" s="22">
        <f t="shared" si="1"/>
        <v>4160</v>
      </c>
      <c r="H17" s="21">
        <f>'DETAILPER TARIF'!O15</f>
        <v>258654357</v>
      </c>
      <c r="I17" s="24">
        <f t="shared" si="2"/>
        <v>-9487769</v>
      </c>
      <c r="J17">
        <v>30</v>
      </c>
      <c r="K17" s="25">
        <f t="shared" si="0"/>
        <v>8621811.9000000004</v>
      </c>
      <c r="L17" s="25">
        <f t="shared" si="3"/>
        <v>-27934.099999999627</v>
      </c>
    </row>
    <row r="18" spans="3:13" x14ac:dyDescent="0.4">
      <c r="C18" s="2">
        <v>12</v>
      </c>
      <c r="D18" s="1">
        <v>2024</v>
      </c>
      <c r="E18" s="1" t="s">
        <v>15</v>
      </c>
      <c r="F18" s="20">
        <f>'DETAILPER TARIF'!I16</f>
        <v>1377216</v>
      </c>
      <c r="G18" s="22">
        <f t="shared" si="1"/>
        <v>3812</v>
      </c>
      <c r="H18" s="21">
        <f>'DETAILPER TARIF'!O16</f>
        <v>258065114</v>
      </c>
      <c r="I18" s="24">
        <f t="shared" si="2"/>
        <v>-589243</v>
      </c>
      <c r="J18">
        <v>31</v>
      </c>
      <c r="K18" s="25">
        <f t="shared" si="0"/>
        <v>8324681.0967741935</v>
      </c>
      <c r="L18" s="25">
        <f t="shared" si="3"/>
        <v>-297130.80322580691</v>
      </c>
    </row>
    <row r="19" spans="3:13" x14ac:dyDescent="0.4">
      <c r="C19" s="2">
        <v>13</v>
      </c>
      <c r="D19" s="1">
        <v>2025</v>
      </c>
      <c r="E19" s="1" t="s">
        <v>4</v>
      </c>
      <c r="F19" s="20">
        <f>'DETAILPER TARIF'!I17</f>
        <v>1380672</v>
      </c>
      <c r="G19" s="22">
        <f t="shared" si="1"/>
        <v>3456</v>
      </c>
      <c r="H19" s="21">
        <f>'DETAILPER TARIF'!O17</f>
        <v>302304163</v>
      </c>
      <c r="I19" s="24">
        <f t="shared" si="2"/>
        <v>44239049</v>
      </c>
      <c r="J19">
        <v>31</v>
      </c>
      <c r="K19" s="25">
        <f t="shared" si="0"/>
        <v>9751747.1935483869</v>
      </c>
      <c r="L19" s="25">
        <f t="shared" si="3"/>
        <v>1427066.0967741935</v>
      </c>
      <c r="M19" s="25"/>
    </row>
    <row r="20" spans="3:13" x14ac:dyDescent="0.4">
      <c r="C20" s="2">
        <v>14</v>
      </c>
      <c r="D20" s="1">
        <v>2025</v>
      </c>
      <c r="E20" s="1" t="s">
        <v>5</v>
      </c>
      <c r="F20" s="20">
        <f>'DETAILPER TARIF'!I18</f>
        <v>1384049</v>
      </c>
      <c r="G20" s="22">
        <f t="shared" si="1"/>
        <v>3377</v>
      </c>
      <c r="H20" s="21">
        <f>'DETAILPER TARIF'!O18</f>
        <v>277964332</v>
      </c>
      <c r="I20" s="24">
        <f t="shared" si="2"/>
        <v>-24339831</v>
      </c>
      <c r="J20">
        <v>28</v>
      </c>
      <c r="K20" s="25">
        <f t="shared" si="0"/>
        <v>9927297.5714285709</v>
      </c>
      <c r="L20" s="25">
        <f t="shared" si="3"/>
        <v>175550.37788018398</v>
      </c>
      <c r="M20" s="25">
        <f t="shared" ref="M20:M30" si="4">L20-L8</f>
        <v>-121683.16820276529</v>
      </c>
    </row>
    <row r="21" spans="3:13" x14ac:dyDescent="0.4">
      <c r="C21" s="2">
        <v>15</v>
      </c>
      <c r="D21" s="1">
        <v>2025</v>
      </c>
      <c r="E21" s="1" t="s">
        <v>6</v>
      </c>
      <c r="F21" s="20">
        <f>'DETAILPER TARIF'!I19</f>
        <v>1387620</v>
      </c>
      <c r="G21" s="22">
        <f t="shared" si="1"/>
        <v>3571</v>
      </c>
      <c r="H21" s="21">
        <f>'DETAILPER TARIF'!O19</f>
        <v>266409634</v>
      </c>
      <c r="I21" s="24">
        <f t="shared" si="2"/>
        <v>-11554698</v>
      </c>
      <c r="J21">
        <v>31</v>
      </c>
      <c r="K21" s="25">
        <f t="shared" si="0"/>
        <v>8593859.1612903234</v>
      </c>
      <c r="L21" s="25">
        <f t="shared" si="3"/>
        <v>-1333438.4101382475</v>
      </c>
      <c r="M21" s="25">
        <f t="shared" si="4"/>
        <v>-1113043.1221198142</v>
      </c>
    </row>
    <row r="22" spans="3:13" x14ac:dyDescent="0.4">
      <c r="C22" s="2">
        <v>16</v>
      </c>
      <c r="D22" s="1">
        <v>2025</v>
      </c>
      <c r="E22" s="1" t="s">
        <v>7</v>
      </c>
      <c r="F22" s="20">
        <f>'DETAILPER TARIF'!I20</f>
        <v>1390355</v>
      </c>
      <c r="G22" s="22">
        <f t="shared" si="1"/>
        <v>2735</v>
      </c>
      <c r="H22" s="21">
        <f>'DETAILPER TARIF'!O20</f>
        <v>227082949</v>
      </c>
      <c r="I22" s="24">
        <f t="shared" si="2"/>
        <v>-39326685</v>
      </c>
      <c r="J22">
        <v>30</v>
      </c>
      <c r="K22" s="25">
        <f t="shared" si="0"/>
        <v>7569431.6333333338</v>
      </c>
      <c r="L22" s="25">
        <f t="shared" si="3"/>
        <v>-1024427.5279569896</v>
      </c>
      <c r="M22" s="25">
        <f t="shared" si="4"/>
        <v>-815054.47311828006</v>
      </c>
    </row>
    <row r="23" spans="3:13" x14ac:dyDescent="0.4">
      <c r="C23" s="2">
        <v>17</v>
      </c>
      <c r="D23" s="1">
        <v>2025</v>
      </c>
      <c r="E23" s="1" t="s">
        <v>8</v>
      </c>
      <c r="F23" s="20">
        <f>'DETAILPER TARIF'!I21</f>
        <v>1394247</v>
      </c>
      <c r="G23" s="22">
        <f t="shared" si="1"/>
        <v>3892</v>
      </c>
      <c r="H23" s="21">
        <f>'DETAILPER TARIF'!O21</f>
        <v>249837247</v>
      </c>
      <c r="I23" s="24">
        <f t="shared" si="2"/>
        <v>22754298</v>
      </c>
      <c r="J23">
        <v>31</v>
      </c>
      <c r="K23" s="25">
        <f t="shared" si="0"/>
        <v>8059266.0322580645</v>
      </c>
      <c r="L23" s="25">
        <f t="shared" si="3"/>
        <v>489834.39892473072</v>
      </c>
      <c r="M23" s="25">
        <f t="shared" si="4"/>
        <v>37858.763440859504</v>
      </c>
    </row>
    <row r="24" spans="3:13" x14ac:dyDescent="0.4">
      <c r="C24" s="2">
        <v>18</v>
      </c>
      <c r="D24" s="1">
        <v>2025</v>
      </c>
      <c r="E24" s="1" t="s">
        <v>9</v>
      </c>
      <c r="F24" s="20">
        <f>'DETAILPER TARIF'!I22</f>
        <v>1398106</v>
      </c>
      <c r="G24" s="22">
        <f t="shared" si="1"/>
        <v>3859</v>
      </c>
      <c r="H24" s="21">
        <f>'DETAILPER TARIF'!O22</f>
        <v>247421397</v>
      </c>
      <c r="I24" s="24">
        <f t="shared" si="2"/>
        <v>-2415850</v>
      </c>
      <c r="J24">
        <v>30</v>
      </c>
      <c r="K24" s="25">
        <f t="shared" si="0"/>
        <v>8247379.9000000004</v>
      </c>
      <c r="L24" s="25">
        <f t="shared" si="3"/>
        <v>188113.86774193589</v>
      </c>
      <c r="M24" s="25">
        <f t="shared" si="4"/>
        <v>216832.06989247352</v>
      </c>
    </row>
    <row r="25" spans="3:13" x14ac:dyDescent="0.4">
      <c r="C25" s="2">
        <v>19</v>
      </c>
      <c r="D25" s="1">
        <v>2025</v>
      </c>
      <c r="E25" s="1" t="s">
        <v>10</v>
      </c>
      <c r="F25" s="20">
        <f>'DETAILPER TARIF'!I23</f>
        <v>1402306</v>
      </c>
      <c r="G25" s="22">
        <f t="shared" si="1"/>
        <v>4200</v>
      </c>
      <c r="H25" s="21">
        <f>'DETAILPER TARIF'!O23</f>
        <v>254014189</v>
      </c>
      <c r="I25" s="24">
        <f t="shared" si="2"/>
        <v>6592792</v>
      </c>
      <c r="J25">
        <v>31</v>
      </c>
      <c r="K25" s="25">
        <f t="shared" si="0"/>
        <v>8194006.0967741935</v>
      </c>
      <c r="L25" s="25">
        <f t="shared" si="3"/>
        <v>-53373.803225806914</v>
      </c>
      <c r="M25" s="25">
        <f t="shared" si="4"/>
        <v>70356.801075268537</v>
      </c>
    </row>
    <row r="26" spans="3:13" x14ac:dyDescent="0.4">
      <c r="C26" s="2">
        <v>20</v>
      </c>
      <c r="D26" s="1">
        <v>2025</v>
      </c>
      <c r="E26" s="1" t="s">
        <v>11</v>
      </c>
      <c r="F26" s="20">
        <f>'DETAILPER TARIF'!I24</f>
        <v>1406475</v>
      </c>
      <c r="G26" s="22">
        <f t="shared" si="1"/>
        <v>4169</v>
      </c>
      <c r="H26" s="21">
        <f>'DETAILPER TARIF'!O24</f>
        <v>257714807</v>
      </c>
      <c r="I26" s="24">
        <f t="shared" si="2"/>
        <v>3700618</v>
      </c>
      <c r="J26">
        <v>31</v>
      </c>
      <c r="K26" s="25">
        <f t="shared" si="0"/>
        <v>8313380.8709677421</v>
      </c>
      <c r="L26" s="25">
        <f t="shared" si="3"/>
        <v>119374.7741935486</v>
      </c>
      <c r="M26" s="25">
        <f t="shared" si="4"/>
        <v>116316.09677419346</v>
      </c>
    </row>
    <row r="27" spans="3:13" x14ac:dyDescent="0.4">
      <c r="C27" s="2">
        <v>21</v>
      </c>
      <c r="D27" s="1">
        <v>2025</v>
      </c>
      <c r="E27" s="1" t="s">
        <v>12</v>
      </c>
      <c r="F27" s="20">
        <f>'DETAILPER TARIF'!I25</f>
        <v>1410489</v>
      </c>
      <c r="G27" s="22">
        <f t="shared" si="1"/>
        <v>4014</v>
      </c>
      <c r="H27" s="21">
        <f>'DETAILPER TARIF'!O25</f>
        <v>260260599</v>
      </c>
      <c r="I27" s="24">
        <f t="shared" si="2"/>
        <v>2545792</v>
      </c>
      <c r="J27">
        <v>30</v>
      </c>
      <c r="K27" s="25">
        <f t="shared" si="0"/>
        <v>8675353.3000000007</v>
      </c>
      <c r="L27" s="25">
        <f t="shared" si="3"/>
        <v>361972.42903225869</v>
      </c>
      <c r="M27" s="25">
        <f t="shared" si="4"/>
        <v>71082.568817204796</v>
      </c>
    </row>
    <row r="28" spans="3:13" x14ac:dyDescent="0.4">
      <c r="C28" s="2">
        <v>22</v>
      </c>
      <c r="D28" s="1">
        <v>2025</v>
      </c>
      <c r="E28" s="1" t="s">
        <v>13</v>
      </c>
      <c r="F28" s="20">
        <f>'DETAILPER TARIF'!I26</f>
        <v>1414438</v>
      </c>
      <c r="G28" s="22">
        <f t="shared" si="1"/>
        <v>3949</v>
      </c>
      <c r="H28" s="21">
        <f>'DETAILPER TARIF'!O26</f>
        <v>276221227</v>
      </c>
      <c r="I28" s="24">
        <f t="shared" si="2"/>
        <v>15960628</v>
      </c>
      <c r="J28">
        <v>31</v>
      </c>
      <c r="K28" s="25">
        <f t="shared" si="0"/>
        <v>8910362.1612903234</v>
      </c>
      <c r="L28" s="25">
        <f t="shared" si="3"/>
        <v>235008.86129032262</v>
      </c>
      <c r="M28" s="25">
        <f t="shared" si="4"/>
        <v>-67571.472043010406</v>
      </c>
    </row>
    <row r="29" spans="3:13" x14ac:dyDescent="0.4">
      <c r="C29" s="2">
        <v>23</v>
      </c>
      <c r="D29" s="1">
        <v>2025</v>
      </c>
      <c r="E29" s="1" t="s">
        <v>14</v>
      </c>
      <c r="F29" s="20">
        <f>'DETAILPER TARIF'!I27</f>
        <v>1418796</v>
      </c>
      <c r="G29" s="22">
        <f t="shared" si="1"/>
        <v>4358</v>
      </c>
      <c r="H29" s="21">
        <f>'DETAILPER TARIF'!O27</f>
        <v>264749129</v>
      </c>
      <c r="I29" s="24">
        <f t="shared" si="2"/>
        <v>-11472098</v>
      </c>
      <c r="J29">
        <v>30</v>
      </c>
      <c r="K29" s="25">
        <f t="shared" si="0"/>
        <v>8824970.9666666668</v>
      </c>
      <c r="L29" s="25">
        <f t="shared" si="3"/>
        <v>-85391.194623656571</v>
      </c>
      <c r="M29" s="25">
        <f t="shared" si="4"/>
        <v>-57457.094623656943</v>
      </c>
    </row>
    <row r="30" spans="3:13" ht="16.5" thickBot="1" x14ac:dyDescent="0.45">
      <c r="C30" s="3">
        <v>24</v>
      </c>
      <c r="D30" s="4">
        <v>2025</v>
      </c>
      <c r="E30" s="4" t="s">
        <v>15</v>
      </c>
      <c r="F30" s="20">
        <f>'DETAILPER TARIF'!I28</f>
        <v>1424059</v>
      </c>
      <c r="G30" s="22">
        <f t="shared" si="1"/>
        <v>5263</v>
      </c>
      <c r="H30" s="21">
        <f>'DETAILPER TARIF'!O28</f>
        <v>272846429</v>
      </c>
      <c r="I30" s="24">
        <f t="shared" si="2"/>
        <v>8097300</v>
      </c>
      <c r="J30">
        <v>31</v>
      </c>
      <c r="K30" s="25">
        <f t="shared" si="0"/>
        <v>8801497.7096774187</v>
      </c>
      <c r="L30" s="25">
        <f t="shared" si="3"/>
        <v>-23473.256989248097</v>
      </c>
      <c r="M30" s="25">
        <f t="shared" si="4"/>
        <v>273657.54623655882</v>
      </c>
    </row>
    <row r="31" spans="3:13" x14ac:dyDescent="0.4">
      <c r="F31" s="24"/>
      <c r="G31" s="24">
        <f>SUM(G8:G30)</f>
        <v>90297</v>
      </c>
    </row>
    <row r="36" spans="2:13" x14ac:dyDescent="0.4">
      <c r="F36" s="24"/>
    </row>
    <row r="38" spans="2:13" x14ac:dyDescent="0.4">
      <c r="B38" s="31" t="s">
        <v>54</v>
      </c>
      <c r="C38" s="31" t="s">
        <v>49</v>
      </c>
      <c r="D38" s="31" t="s">
        <v>50</v>
      </c>
      <c r="E38" s="31" t="s">
        <v>51</v>
      </c>
      <c r="F38" s="31" t="s">
        <v>52</v>
      </c>
      <c r="G38" s="31" t="s">
        <v>53</v>
      </c>
    </row>
    <row r="39" spans="2:13" x14ac:dyDescent="0.4">
      <c r="B39" s="41">
        <f>SUM(F7:F30)</f>
        <v>33057195</v>
      </c>
      <c r="C39" s="1">
        <v>-12</v>
      </c>
      <c r="D39" s="1">
        <f>C39^2</f>
        <v>144</v>
      </c>
      <c r="E39" s="1">
        <f>C39^4</f>
        <v>20736</v>
      </c>
      <c r="F39" s="32">
        <f t="shared" ref="F39:F62" si="5">C39*F7</f>
        <v>-16005144</v>
      </c>
      <c r="G39" s="32">
        <f t="shared" ref="G39:G62" si="6">D39*F7</f>
        <v>192061728</v>
      </c>
    </row>
    <row r="40" spans="2:13" x14ac:dyDescent="0.4">
      <c r="C40" s="1">
        <v>-11</v>
      </c>
      <c r="D40" s="1">
        <f t="shared" ref="D40:D62" si="7">C40^2</f>
        <v>121</v>
      </c>
      <c r="E40" s="1">
        <f t="shared" ref="E40:E62" si="8">C40^4</f>
        <v>14641</v>
      </c>
      <c r="F40" s="32">
        <f t="shared" si="5"/>
        <v>-14702820</v>
      </c>
      <c r="G40" s="32">
        <f t="shared" si="6"/>
        <v>161731020</v>
      </c>
      <c r="J40" s="40" t="s">
        <v>55</v>
      </c>
      <c r="K40" s="35">
        <f>F63/D63</f>
        <v>3711.086153846154</v>
      </c>
    </row>
    <row r="41" spans="2:13" x14ac:dyDescent="0.4">
      <c r="C41" s="1">
        <v>-10</v>
      </c>
      <c r="D41" s="1">
        <f t="shared" si="7"/>
        <v>100</v>
      </c>
      <c r="E41" s="1">
        <f t="shared" si="8"/>
        <v>10000</v>
      </c>
      <c r="F41" s="32">
        <f t="shared" si="5"/>
        <v>-13397730</v>
      </c>
      <c r="G41" s="32">
        <f t="shared" si="6"/>
        <v>133977300</v>
      </c>
      <c r="J41" s="40" t="s">
        <v>56</v>
      </c>
      <c r="K41" s="35">
        <f>((B39*E63)-(G63*D63))/(24*E63-D63^2)</f>
        <v>1377473.985768904</v>
      </c>
    </row>
    <row r="42" spans="2:13" x14ac:dyDescent="0.4">
      <c r="C42" s="1">
        <v>-9</v>
      </c>
      <c r="D42" s="1">
        <f t="shared" si="7"/>
        <v>81</v>
      </c>
      <c r="E42" s="1">
        <f t="shared" si="8"/>
        <v>6561</v>
      </c>
      <c r="F42" s="32">
        <f t="shared" si="5"/>
        <v>-12079665</v>
      </c>
      <c r="G42" s="32">
        <f t="shared" si="6"/>
        <v>108716985</v>
      </c>
      <c r="J42" s="40" t="s">
        <v>57</v>
      </c>
      <c r="K42" s="35">
        <f>((24*G63)-(D63*B39))/(24*E63-D63^2)</f>
        <v>-1.6774295797660284</v>
      </c>
    </row>
    <row r="43" spans="2:13" x14ac:dyDescent="0.4">
      <c r="C43" s="1">
        <v>-8</v>
      </c>
      <c r="D43" s="1">
        <f t="shared" si="7"/>
        <v>64</v>
      </c>
      <c r="E43" s="1">
        <f t="shared" si="8"/>
        <v>4096</v>
      </c>
      <c r="F43" s="32">
        <f t="shared" si="5"/>
        <v>-10767816</v>
      </c>
      <c r="G43" s="32">
        <f t="shared" si="6"/>
        <v>86142528</v>
      </c>
      <c r="J43" t="s">
        <v>58</v>
      </c>
    </row>
    <row r="44" spans="2:13" x14ac:dyDescent="0.4">
      <c r="C44" s="1">
        <v>-7</v>
      </c>
      <c r="D44" s="1">
        <f t="shared" si="7"/>
        <v>49</v>
      </c>
      <c r="E44" s="1">
        <f t="shared" si="8"/>
        <v>2401</v>
      </c>
      <c r="F44" s="32">
        <f t="shared" si="5"/>
        <v>-9448194</v>
      </c>
      <c r="G44" s="32">
        <f t="shared" si="6"/>
        <v>66137358</v>
      </c>
      <c r="J44" t="s">
        <v>62</v>
      </c>
      <c r="M44" t="s">
        <v>60</v>
      </c>
    </row>
    <row r="45" spans="2:13" x14ac:dyDescent="0.4">
      <c r="C45" s="1">
        <v>-6</v>
      </c>
      <c r="D45" s="1">
        <f t="shared" si="7"/>
        <v>36</v>
      </c>
      <c r="E45" s="1">
        <f t="shared" si="8"/>
        <v>1296</v>
      </c>
      <c r="F45" s="32">
        <f t="shared" si="5"/>
        <v>-8123664</v>
      </c>
      <c r="G45" s="32">
        <f t="shared" si="6"/>
        <v>48741984</v>
      </c>
    </row>
    <row r="46" spans="2:13" x14ac:dyDescent="0.4">
      <c r="C46" s="1">
        <v>-5</v>
      </c>
      <c r="D46" s="1">
        <f t="shared" si="7"/>
        <v>25</v>
      </c>
      <c r="E46" s="1">
        <f t="shared" si="8"/>
        <v>625</v>
      </c>
      <c r="F46" s="32">
        <f t="shared" si="5"/>
        <v>-6795215</v>
      </c>
      <c r="G46" s="32">
        <f t="shared" si="6"/>
        <v>33976075</v>
      </c>
      <c r="J46" s="39" t="s">
        <v>59</v>
      </c>
      <c r="K46" s="39"/>
      <c r="L46" s="34">
        <f>G31/24</f>
        <v>3762.375</v>
      </c>
    </row>
    <row r="47" spans="2:13" x14ac:dyDescent="0.4">
      <c r="C47" s="1">
        <v>-4</v>
      </c>
      <c r="D47" s="1">
        <f t="shared" si="7"/>
        <v>16</v>
      </c>
      <c r="E47" s="1">
        <f t="shared" si="8"/>
        <v>256</v>
      </c>
      <c r="F47" s="32">
        <f t="shared" si="5"/>
        <v>-5458692</v>
      </c>
      <c r="G47" s="32">
        <f t="shared" si="6"/>
        <v>21834768</v>
      </c>
    </row>
    <row r="48" spans="2:13" x14ac:dyDescent="0.4">
      <c r="C48" s="1">
        <v>-3</v>
      </c>
      <c r="D48" s="1">
        <f t="shared" si="7"/>
        <v>9</v>
      </c>
      <c r="E48" s="1">
        <f t="shared" si="8"/>
        <v>81</v>
      </c>
      <c r="F48" s="32">
        <f t="shared" si="5"/>
        <v>-4107732</v>
      </c>
      <c r="G48" s="32">
        <f t="shared" si="6"/>
        <v>12323196</v>
      </c>
    </row>
    <row r="49" spans="3:10" x14ac:dyDescent="0.4">
      <c r="C49" s="1">
        <v>-2</v>
      </c>
      <c r="D49" s="1">
        <f t="shared" si="7"/>
        <v>4</v>
      </c>
      <c r="E49" s="1">
        <f t="shared" si="8"/>
        <v>16</v>
      </c>
      <c r="F49" s="32">
        <f t="shared" si="5"/>
        <v>-2746808</v>
      </c>
      <c r="G49" s="32">
        <f t="shared" si="6"/>
        <v>5493616</v>
      </c>
      <c r="J49" s="25"/>
    </row>
    <row r="50" spans="3:10" x14ac:dyDescent="0.4">
      <c r="C50" s="1">
        <v>-1</v>
      </c>
      <c r="D50" s="1">
        <f t="shared" si="7"/>
        <v>1</v>
      </c>
      <c r="E50" s="1">
        <f t="shared" si="8"/>
        <v>1</v>
      </c>
      <c r="F50" s="32">
        <f t="shared" si="5"/>
        <v>-1377216</v>
      </c>
      <c r="G50" s="32">
        <f t="shared" si="6"/>
        <v>1377216</v>
      </c>
    </row>
    <row r="51" spans="3:10" x14ac:dyDescent="0.4">
      <c r="C51" s="1">
        <v>1</v>
      </c>
      <c r="D51" s="1">
        <f t="shared" si="7"/>
        <v>1</v>
      </c>
      <c r="E51" s="1">
        <f t="shared" si="8"/>
        <v>1</v>
      </c>
      <c r="F51" s="32">
        <f t="shared" si="5"/>
        <v>1380672</v>
      </c>
      <c r="G51" s="32">
        <f t="shared" si="6"/>
        <v>1380672</v>
      </c>
    </row>
    <row r="52" spans="3:10" x14ac:dyDescent="0.4">
      <c r="C52" s="1">
        <v>2</v>
      </c>
      <c r="D52" s="1">
        <f t="shared" si="7"/>
        <v>4</v>
      </c>
      <c r="E52" s="1">
        <f t="shared" si="8"/>
        <v>16</v>
      </c>
      <c r="F52" s="32">
        <f t="shared" si="5"/>
        <v>2768098</v>
      </c>
      <c r="G52" s="32">
        <f t="shared" si="6"/>
        <v>5536196</v>
      </c>
    </row>
    <row r="53" spans="3:10" x14ac:dyDescent="0.4">
      <c r="C53" s="1">
        <v>3</v>
      </c>
      <c r="D53" s="1">
        <f t="shared" si="7"/>
        <v>9</v>
      </c>
      <c r="E53" s="1">
        <f t="shared" si="8"/>
        <v>81</v>
      </c>
      <c r="F53" s="32">
        <f t="shared" si="5"/>
        <v>4162860</v>
      </c>
      <c r="G53" s="32">
        <f t="shared" si="6"/>
        <v>12488580</v>
      </c>
    </row>
    <row r="54" spans="3:10" x14ac:dyDescent="0.4">
      <c r="C54" s="1">
        <v>4</v>
      </c>
      <c r="D54" s="1">
        <f t="shared" si="7"/>
        <v>16</v>
      </c>
      <c r="E54" s="1">
        <f t="shared" si="8"/>
        <v>256</v>
      </c>
      <c r="F54" s="32">
        <f t="shared" si="5"/>
        <v>5561420</v>
      </c>
      <c r="G54" s="32">
        <f t="shared" si="6"/>
        <v>22245680</v>
      </c>
    </row>
    <row r="55" spans="3:10" x14ac:dyDescent="0.4">
      <c r="C55" s="1">
        <v>5</v>
      </c>
      <c r="D55" s="1">
        <f t="shared" si="7"/>
        <v>25</v>
      </c>
      <c r="E55" s="1">
        <f t="shared" si="8"/>
        <v>625</v>
      </c>
      <c r="F55" s="32">
        <f t="shared" si="5"/>
        <v>6971235</v>
      </c>
      <c r="G55" s="32">
        <f t="shared" si="6"/>
        <v>34856175</v>
      </c>
    </row>
    <row r="56" spans="3:10" x14ac:dyDescent="0.4">
      <c r="C56" s="1">
        <v>6</v>
      </c>
      <c r="D56" s="1">
        <f t="shared" si="7"/>
        <v>36</v>
      </c>
      <c r="E56" s="1">
        <f t="shared" si="8"/>
        <v>1296</v>
      </c>
      <c r="F56" s="32">
        <f t="shared" si="5"/>
        <v>8388636</v>
      </c>
      <c r="G56" s="32">
        <f t="shared" si="6"/>
        <v>50331816</v>
      </c>
    </row>
    <row r="57" spans="3:10" x14ac:dyDescent="0.4">
      <c r="C57" s="1">
        <v>7</v>
      </c>
      <c r="D57" s="1">
        <f t="shared" si="7"/>
        <v>49</v>
      </c>
      <c r="E57" s="1">
        <f t="shared" si="8"/>
        <v>2401</v>
      </c>
      <c r="F57" s="32">
        <f t="shared" si="5"/>
        <v>9816142</v>
      </c>
      <c r="G57" s="32">
        <f t="shared" si="6"/>
        <v>68712994</v>
      </c>
    </row>
    <row r="58" spans="3:10" x14ac:dyDescent="0.4">
      <c r="C58" s="1">
        <v>8</v>
      </c>
      <c r="D58" s="1">
        <f t="shared" si="7"/>
        <v>64</v>
      </c>
      <c r="E58" s="1">
        <f t="shared" si="8"/>
        <v>4096</v>
      </c>
      <c r="F58" s="32">
        <f t="shared" si="5"/>
        <v>11251800</v>
      </c>
      <c r="G58" s="32">
        <f t="shared" si="6"/>
        <v>90014400</v>
      </c>
    </row>
    <row r="59" spans="3:10" x14ac:dyDescent="0.4">
      <c r="C59" s="1">
        <v>9</v>
      </c>
      <c r="D59" s="1">
        <f t="shared" si="7"/>
        <v>81</v>
      </c>
      <c r="E59" s="1">
        <f t="shared" si="8"/>
        <v>6561</v>
      </c>
      <c r="F59" s="32">
        <f t="shared" si="5"/>
        <v>12694401</v>
      </c>
      <c r="G59" s="32">
        <f t="shared" si="6"/>
        <v>114249609</v>
      </c>
    </row>
    <row r="60" spans="3:10" x14ac:dyDescent="0.4">
      <c r="C60" s="1">
        <v>10</v>
      </c>
      <c r="D60" s="1">
        <f t="shared" si="7"/>
        <v>100</v>
      </c>
      <c r="E60" s="1">
        <f t="shared" si="8"/>
        <v>10000</v>
      </c>
      <c r="F60" s="32">
        <f t="shared" si="5"/>
        <v>14144380</v>
      </c>
      <c r="G60" s="32">
        <f t="shared" si="6"/>
        <v>141443800</v>
      </c>
    </row>
    <row r="61" spans="3:10" x14ac:dyDescent="0.4">
      <c r="C61" s="1">
        <v>11</v>
      </c>
      <c r="D61" s="1">
        <f t="shared" si="7"/>
        <v>121</v>
      </c>
      <c r="E61" s="1">
        <f t="shared" si="8"/>
        <v>14641</v>
      </c>
      <c r="F61" s="32">
        <f t="shared" si="5"/>
        <v>15606756</v>
      </c>
      <c r="G61" s="32">
        <f t="shared" si="6"/>
        <v>171674316</v>
      </c>
    </row>
    <row r="62" spans="3:10" x14ac:dyDescent="0.4">
      <c r="C62" s="1">
        <v>12</v>
      </c>
      <c r="D62" s="1">
        <f t="shared" si="7"/>
        <v>144</v>
      </c>
      <c r="E62" s="1">
        <f t="shared" si="8"/>
        <v>20736</v>
      </c>
      <c r="F62" s="32">
        <f t="shared" si="5"/>
        <v>17088708</v>
      </c>
      <c r="G62" s="32">
        <f t="shared" si="6"/>
        <v>205064496</v>
      </c>
    </row>
    <row r="63" spans="3:10" x14ac:dyDescent="0.4">
      <c r="C63" s="30">
        <f>SUM(C39:C62)</f>
        <v>0</v>
      </c>
      <c r="D63" s="30">
        <f>SUM(D39:D62)</f>
        <v>1300</v>
      </c>
      <c r="E63" s="30">
        <f>SUM(E39:E62)</f>
        <v>121420</v>
      </c>
      <c r="F63" s="33">
        <f>SUM(F39:F62)</f>
        <v>4824412</v>
      </c>
      <c r="G63" s="33">
        <f>SUM(G39:G62)</f>
        <v>1790512508</v>
      </c>
    </row>
    <row r="66" spans="2:10" x14ac:dyDescent="0.4">
      <c r="B66" t="s">
        <v>61</v>
      </c>
    </row>
    <row r="67" spans="2:10" x14ac:dyDescent="0.4">
      <c r="B67" s="36"/>
      <c r="C67" s="36"/>
      <c r="D67" s="36"/>
      <c r="E67" s="36"/>
      <c r="F67" s="36"/>
      <c r="G67" s="36"/>
    </row>
    <row r="68" spans="2:10" x14ac:dyDescent="0.4">
      <c r="B68" s="34">
        <f>B39/24</f>
        <v>1377383.125</v>
      </c>
      <c r="C68" s="34">
        <f t="shared" ref="C68:C91" si="9">$K$41+$K$40*C39-$K$42*D39</f>
        <v>1333182.5017822364</v>
      </c>
      <c r="D68" s="34">
        <f>F7-C68</f>
        <v>579.49821776361205</v>
      </c>
      <c r="E68" s="34">
        <f>D68^2</f>
        <v>335818.18439120275</v>
      </c>
      <c r="F68" s="34">
        <f>F7-$B$68</f>
        <v>-43621.125</v>
      </c>
      <c r="G68" s="34">
        <f>F68^2</f>
        <v>1902802546.265625</v>
      </c>
    </row>
    <row r="69" spans="2:10" x14ac:dyDescent="0.4">
      <c r="C69" s="34">
        <f t="shared" si="9"/>
        <v>1336855.007055748</v>
      </c>
      <c r="D69" s="34">
        <f t="shared" ref="D69:D91" si="10">F8-C69</f>
        <v>-235.00705574802123</v>
      </c>
      <c r="E69" s="34">
        <f t="shared" ref="E69:E91" si="11">D69^2</f>
        <v>55228.316251353557</v>
      </c>
      <c r="F69" s="34">
        <f t="shared" ref="F69:F91" si="12">F8-$B$68</f>
        <v>-40763.125</v>
      </c>
      <c r="G69" s="34">
        <f t="shared" ref="G69:G91" si="13">F69^2</f>
        <v>1661632359.765625</v>
      </c>
      <c r="I69" s="39" t="s">
        <v>63</v>
      </c>
      <c r="J69" s="38">
        <f>1-(E92/G92)</f>
        <v>0.99624836648320525</v>
      </c>
    </row>
    <row r="70" spans="2:10" x14ac:dyDescent="0.4">
      <c r="C70" s="34">
        <f t="shared" si="9"/>
        <v>1340530.867188419</v>
      </c>
      <c r="D70" s="34">
        <f t="shared" si="10"/>
        <v>-757.86718841898255</v>
      </c>
      <c r="E70" s="34">
        <f t="shared" si="11"/>
        <v>574362.67528209358</v>
      </c>
      <c r="F70" s="34">
        <f t="shared" si="12"/>
        <v>-37610.125</v>
      </c>
      <c r="G70" s="34">
        <f t="shared" si="13"/>
        <v>1414521502.515625</v>
      </c>
    </row>
    <row r="71" spans="2:10" x14ac:dyDescent="0.4">
      <c r="C71" s="34">
        <f t="shared" si="9"/>
        <v>1344210.0821802495</v>
      </c>
      <c r="D71" s="34">
        <f t="shared" si="10"/>
        <v>-2025.0821802495047</v>
      </c>
      <c r="E71" s="34">
        <f t="shared" si="11"/>
        <v>4100957.8367640874</v>
      </c>
      <c r="F71" s="34">
        <f t="shared" si="12"/>
        <v>-35198.125</v>
      </c>
      <c r="G71" s="34">
        <f t="shared" si="13"/>
        <v>1238908003.515625</v>
      </c>
      <c r="J71" t="s">
        <v>77</v>
      </c>
    </row>
    <row r="72" spans="2:10" x14ac:dyDescent="0.4">
      <c r="C72" s="34">
        <f t="shared" si="9"/>
        <v>1347892.6520312398</v>
      </c>
      <c r="D72" s="34">
        <f t="shared" si="10"/>
        <v>-1915.6520312398206</v>
      </c>
      <c r="E72" s="34">
        <f t="shared" si="11"/>
        <v>3669722.7047932507</v>
      </c>
      <c r="F72" s="34">
        <f t="shared" si="12"/>
        <v>-31406.125</v>
      </c>
      <c r="G72" s="34">
        <f t="shared" si="13"/>
        <v>986344687.515625</v>
      </c>
      <c r="J72" t="s">
        <v>64</v>
      </c>
    </row>
    <row r="73" spans="2:10" x14ac:dyDescent="0.4">
      <c r="C73" s="34">
        <f t="shared" si="9"/>
        <v>1351578.5767413892</v>
      </c>
      <c r="D73" s="34">
        <f t="shared" si="10"/>
        <v>-1836.5767413892318</v>
      </c>
      <c r="E73" s="34">
        <f t="shared" si="11"/>
        <v>3373014.1270118891</v>
      </c>
      <c r="F73" s="34">
        <f t="shared" si="12"/>
        <v>-27641.125</v>
      </c>
      <c r="G73" s="34">
        <f t="shared" si="13"/>
        <v>764031791.265625</v>
      </c>
      <c r="J73" t="s">
        <v>65</v>
      </c>
    </row>
    <row r="74" spans="2:10" x14ac:dyDescent="0.4">
      <c r="C74" s="34">
        <f t="shared" si="9"/>
        <v>1355267.8563106987</v>
      </c>
      <c r="D74" s="34">
        <f t="shared" si="10"/>
        <v>-1323.8563106986694</v>
      </c>
      <c r="E74" s="34">
        <f t="shared" si="11"/>
        <v>1752595.531376692</v>
      </c>
      <c r="F74" s="34">
        <f t="shared" si="12"/>
        <v>-23439.125</v>
      </c>
      <c r="G74" s="34">
        <f t="shared" si="13"/>
        <v>549392580.765625</v>
      </c>
    </row>
    <row r="75" spans="2:10" x14ac:dyDescent="0.4">
      <c r="C75" s="34">
        <f t="shared" si="9"/>
        <v>1358960.4907391674</v>
      </c>
      <c r="D75" s="34">
        <f t="shared" si="10"/>
        <v>82.509260832564905</v>
      </c>
      <c r="E75" s="34">
        <f t="shared" si="11"/>
        <v>6807.7781231362287</v>
      </c>
      <c r="F75" s="34">
        <f t="shared" si="12"/>
        <v>-18340.125</v>
      </c>
      <c r="G75" s="34">
        <f t="shared" si="13"/>
        <v>336360185.015625</v>
      </c>
    </row>
    <row r="76" spans="2:10" x14ac:dyDescent="0.4">
      <c r="C76" s="34">
        <f t="shared" si="9"/>
        <v>1362656.4800267955</v>
      </c>
      <c r="D76" s="34">
        <f t="shared" si="10"/>
        <v>2016.5199732044712</v>
      </c>
      <c r="E76" s="34">
        <f t="shared" si="11"/>
        <v>4066352.802332561</v>
      </c>
      <c r="F76" s="34">
        <f t="shared" si="12"/>
        <v>-12710.125</v>
      </c>
      <c r="G76" s="34">
        <f t="shared" si="13"/>
        <v>161547277.515625</v>
      </c>
      <c r="I76" s="25"/>
    </row>
    <row r="77" spans="2:10" x14ac:dyDescent="0.4">
      <c r="C77" s="34">
        <f t="shared" si="9"/>
        <v>1366355.8241735834</v>
      </c>
      <c r="D77" s="34">
        <f t="shared" si="10"/>
        <v>2888.1758264165837</v>
      </c>
      <c r="E77" s="34">
        <f t="shared" si="11"/>
        <v>8341559.6042971164</v>
      </c>
      <c r="F77" s="34">
        <f t="shared" si="12"/>
        <v>-8139.125</v>
      </c>
      <c r="G77" s="34">
        <f t="shared" si="13"/>
        <v>66245355.765625</v>
      </c>
    </row>
    <row r="78" spans="2:10" x14ac:dyDescent="0.4">
      <c r="C78" s="34">
        <f t="shared" si="9"/>
        <v>1370058.5231795309</v>
      </c>
      <c r="D78" s="34">
        <f t="shared" si="10"/>
        <v>3345.4768204691354</v>
      </c>
      <c r="E78" s="34">
        <f t="shared" si="11"/>
        <v>11192215.156296276</v>
      </c>
      <c r="F78" s="34">
        <f t="shared" si="12"/>
        <v>-3979.125</v>
      </c>
      <c r="G78" s="34">
        <f t="shared" si="13"/>
        <v>15833435.765625</v>
      </c>
    </row>
    <row r="79" spans="2:10" x14ac:dyDescent="0.4">
      <c r="C79" s="34">
        <f t="shared" si="9"/>
        <v>1373764.5770446374</v>
      </c>
      <c r="D79" s="34">
        <f t="shared" si="10"/>
        <v>3451.4229553625919</v>
      </c>
      <c r="E79" s="34">
        <f t="shared" si="11"/>
        <v>11912320.416803848</v>
      </c>
      <c r="F79" s="34">
        <f t="shared" si="12"/>
        <v>-167.125</v>
      </c>
      <c r="G79" s="34">
        <f t="shared" si="13"/>
        <v>27930.765625</v>
      </c>
    </row>
    <row r="80" spans="2:10" x14ac:dyDescent="0.4">
      <c r="C80" s="34">
        <f t="shared" si="9"/>
        <v>1381186.7493523299</v>
      </c>
      <c r="D80" s="34">
        <f t="shared" si="10"/>
        <v>-514.74935232987627</v>
      </c>
      <c r="E80" s="34">
        <f t="shared" si="11"/>
        <v>264966.89572402713</v>
      </c>
      <c r="F80" s="34">
        <f t="shared" si="12"/>
        <v>3288.875</v>
      </c>
      <c r="G80" s="34">
        <f t="shared" si="13"/>
        <v>10816698.765625</v>
      </c>
    </row>
    <row r="81" spans="3:7" x14ac:dyDescent="0.4">
      <c r="C81" s="34">
        <f t="shared" si="9"/>
        <v>1384902.8677949153</v>
      </c>
      <c r="D81" s="34">
        <f t="shared" si="10"/>
        <v>-853.86779491533525</v>
      </c>
      <c r="E81" s="34">
        <f t="shared" si="11"/>
        <v>729090.21119357704</v>
      </c>
      <c r="F81" s="34">
        <f t="shared" si="12"/>
        <v>6665.875</v>
      </c>
      <c r="G81" s="34">
        <f t="shared" si="13"/>
        <v>44433889.515625</v>
      </c>
    </row>
    <row r="82" spans="3:7" x14ac:dyDescent="0.4">
      <c r="C82" s="34">
        <f t="shared" si="9"/>
        <v>1388622.3410966604</v>
      </c>
      <c r="D82" s="34">
        <f t="shared" si="10"/>
        <v>-1002.3410966603551</v>
      </c>
      <c r="E82" s="34">
        <f t="shared" si="11"/>
        <v>1004687.6740542833</v>
      </c>
      <c r="F82" s="34">
        <f t="shared" si="12"/>
        <v>10236.875</v>
      </c>
      <c r="G82" s="34">
        <f t="shared" si="13"/>
        <v>104793609.765625</v>
      </c>
    </row>
    <row r="83" spans="3:7" x14ac:dyDescent="0.4">
      <c r="C83" s="34">
        <f t="shared" si="9"/>
        <v>1392345.1692575649</v>
      </c>
      <c r="D83" s="34">
        <f t="shared" si="10"/>
        <v>-1990.1692575649358</v>
      </c>
      <c r="E83" s="34">
        <f t="shared" si="11"/>
        <v>3960773.6737565678</v>
      </c>
      <c r="F83" s="34">
        <f t="shared" si="12"/>
        <v>12971.875</v>
      </c>
      <c r="G83" s="34">
        <f t="shared" si="13"/>
        <v>168269541.015625</v>
      </c>
    </row>
    <row r="84" spans="3:7" x14ac:dyDescent="0.4">
      <c r="C84" s="34">
        <f t="shared" si="9"/>
        <v>1396071.3522776288</v>
      </c>
      <c r="D84" s="34">
        <f t="shared" si="10"/>
        <v>-1824.3522776288446</v>
      </c>
      <c r="E84" s="34">
        <f t="shared" si="11"/>
        <v>3328261.2328895531</v>
      </c>
      <c r="F84" s="34">
        <f t="shared" si="12"/>
        <v>16863.875</v>
      </c>
      <c r="G84" s="34">
        <f t="shared" si="13"/>
        <v>284390280.015625</v>
      </c>
    </row>
    <row r="85" spans="3:7" x14ac:dyDescent="0.4">
      <c r="C85" s="34">
        <f t="shared" si="9"/>
        <v>1399800.8901568525</v>
      </c>
      <c r="D85" s="34">
        <f t="shared" si="10"/>
        <v>-1694.8901568525471</v>
      </c>
      <c r="E85" s="34">
        <f t="shared" si="11"/>
        <v>2872652.6437956518</v>
      </c>
      <c r="F85" s="34">
        <f t="shared" si="12"/>
        <v>20722.875</v>
      </c>
      <c r="G85" s="34">
        <f t="shared" si="13"/>
        <v>429437548.265625</v>
      </c>
    </row>
    <row r="86" spans="3:7" x14ac:dyDescent="0.4">
      <c r="C86" s="34">
        <f t="shared" si="9"/>
        <v>1403533.7828952356</v>
      </c>
      <c r="D86" s="34">
        <f t="shared" si="10"/>
        <v>-1227.7828952355776</v>
      </c>
      <c r="E86" s="34">
        <f t="shared" si="11"/>
        <v>1507450.8378330574</v>
      </c>
      <c r="F86" s="34">
        <f t="shared" si="12"/>
        <v>24922.875</v>
      </c>
      <c r="G86" s="34">
        <f t="shared" si="13"/>
        <v>621149698.265625</v>
      </c>
    </row>
    <row r="87" spans="3:7" x14ac:dyDescent="0.4">
      <c r="C87" s="34">
        <f t="shared" si="9"/>
        <v>1407270.0304927782</v>
      </c>
      <c r="D87" s="34">
        <f t="shared" si="10"/>
        <v>-795.03049277816899</v>
      </c>
      <c r="E87" s="34">
        <f t="shared" si="11"/>
        <v>632073.48444709822</v>
      </c>
      <c r="F87" s="34">
        <f t="shared" si="12"/>
        <v>29091.875</v>
      </c>
      <c r="G87" s="34">
        <f t="shared" si="13"/>
        <v>846337191.015625</v>
      </c>
    </row>
    <row r="88" spans="3:7" x14ac:dyDescent="0.4">
      <c r="C88" s="34">
        <f t="shared" si="9"/>
        <v>1411009.6329494803</v>
      </c>
      <c r="D88" s="34">
        <f t="shared" si="10"/>
        <v>-520.63294948032126</v>
      </c>
      <c r="E88" s="34">
        <f t="shared" si="11"/>
        <v>271058.66808457876</v>
      </c>
      <c r="F88" s="34">
        <f t="shared" si="12"/>
        <v>33105.875</v>
      </c>
      <c r="G88" s="34">
        <f t="shared" si="13"/>
        <v>1095998959.515625</v>
      </c>
    </row>
    <row r="89" spans="3:7" x14ac:dyDescent="0.4">
      <c r="C89" s="34">
        <f t="shared" si="9"/>
        <v>1414752.5902653423</v>
      </c>
      <c r="D89" s="34">
        <f t="shared" si="10"/>
        <v>-314.59026534226723</v>
      </c>
      <c r="E89" s="34">
        <f t="shared" si="11"/>
        <v>98967.035048118109</v>
      </c>
      <c r="F89" s="34">
        <f t="shared" si="12"/>
        <v>37054.875</v>
      </c>
      <c r="G89" s="34">
        <f t="shared" si="13"/>
        <v>1373063761.265625</v>
      </c>
    </row>
    <row r="90" spans="3:7" x14ac:dyDescent="0.4">
      <c r="C90" s="34">
        <f t="shared" si="9"/>
        <v>1418498.9024403633</v>
      </c>
      <c r="D90" s="34">
        <f t="shared" si="10"/>
        <v>297.09755963669159</v>
      </c>
      <c r="E90" s="34">
        <f t="shared" si="11"/>
        <v>88266.959942077519</v>
      </c>
      <c r="F90" s="34">
        <f t="shared" si="12"/>
        <v>41412.875</v>
      </c>
      <c r="G90" s="34">
        <f t="shared" si="13"/>
        <v>1715026215.765625</v>
      </c>
    </row>
    <row r="91" spans="3:7" x14ac:dyDescent="0.4">
      <c r="C91" s="34">
        <f t="shared" si="9"/>
        <v>1422248.5694745441</v>
      </c>
      <c r="D91" s="34">
        <f t="shared" si="10"/>
        <v>1810.4305254558567</v>
      </c>
      <c r="E91" s="34">
        <f t="shared" si="11"/>
        <v>3277658.6875023693</v>
      </c>
      <c r="F91" s="34">
        <f t="shared" si="12"/>
        <v>46675.875</v>
      </c>
      <c r="G91" s="34">
        <f t="shared" si="13"/>
        <v>2178637307.015625</v>
      </c>
    </row>
    <row r="92" spans="3:7" x14ac:dyDescent="0.4">
      <c r="C92" s="25"/>
      <c r="E92" s="37">
        <f>SUM(E68:E91)</f>
        <v>67416863.137994468</v>
      </c>
      <c r="G92" s="37">
        <f>SUM(G68:G91)</f>
        <v>17970002356.625</v>
      </c>
    </row>
    <row r="93" spans="3:7" x14ac:dyDescent="0.4">
      <c r="C93" s="25"/>
    </row>
  </sheetData>
  <mergeCells count="1">
    <mergeCell ref="C5:H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0FBD-3F9E-48D5-B001-E9DF82DDEF94}">
  <dimension ref="A1:G17"/>
  <sheetViews>
    <sheetView tabSelected="1" zoomScale="69" workbookViewId="0">
      <selection activeCell="F15" sqref="F15"/>
    </sheetView>
  </sheetViews>
  <sheetFormatPr defaultRowHeight="16" x14ac:dyDescent="0.4"/>
  <cols>
    <col min="1" max="1" width="13.75" customWidth="1"/>
    <col min="2" max="3" width="10.33203125" bestFit="1" customWidth="1"/>
    <col min="4" max="5" width="8.75" bestFit="1" customWidth="1"/>
    <col min="6" max="6" width="9.83203125" bestFit="1" customWidth="1"/>
    <col min="7" max="7" width="8.83203125" bestFit="1" customWidth="1"/>
  </cols>
  <sheetData>
    <row r="1" spans="1:7" x14ac:dyDescent="0.4">
      <c r="A1" t="s">
        <v>66</v>
      </c>
    </row>
    <row r="2" spans="1:7" x14ac:dyDescent="0.4">
      <c r="A2" s="55" t="s">
        <v>67</v>
      </c>
      <c r="B2" s="55"/>
      <c r="C2" s="55"/>
      <c r="D2" s="31" t="s">
        <v>69</v>
      </c>
      <c r="E2" s="31" t="s">
        <v>74</v>
      </c>
      <c r="F2" s="31" t="s">
        <v>75</v>
      </c>
      <c r="G2" s="31" t="s">
        <v>76</v>
      </c>
    </row>
    <row r="3" spans="1:7" x14ac:dyDescent="0.4">
      <c r="A3" s="42">
        <v>1333762</v>
      </c>
      <c r="B3" s="1" t="s">
        <v>68</v>
      </c>
      <c r="C3" s="42">
        <v>1348811</v>
      </c>
      <c r="D3" s="1">
        <v>5</v>
      </c>
      <c r="E3" s="1">
        <f>D3</f>
        <v>5</v>
      </c>
      <c r="F3" s="29">
        <f>1/2*(A3+C3)</f>
        <v>1341286.5</v>
      </c>
      <c r="G3" s="29">
        <f>F3*D3</f>
        <v>6706432.5</v>
      </c>
    </row>
    <row r="4" spans="1:7" x14ac:dyDescent="0.4">
      <c r="A4" s="42">
        <v>1348812</v>
      </c>
      <c r="B4" s="1" t="s">
        <v>68</v>
      </c>
      <c r="C4" s="42">
        <v>1363861</v>
      </c>
      <c r="D4" s="1">
        <v>3</v>
      </c>
      <c r="E4" s="1">
        <f>E3+D4</f>
        <v>8</v>
      </c>
      <c r="F4" s="29">
        <f t="shared" ref="F4:F8" si="0">1/2*(A4+C4)</f>
        <v>1356336.5</v>
      </c>
      <c r="G4" s="29">
        <f t="shared" ref="G4:G8" si="1">F4*D4</f>
        <v>4069009.5</v>
      </c>
    </row>
    <row r="5" spans="1:7" x14ac:dyDescent="0.4">
      <c r="A5" s="42">
        <v>1363862</v>
      </c>
      <c r="B5" s="1" t="s">
        <v>68</v>
      </c>
      <c r="C5" s="42">
        <v>1378911</v>
      </c>
      <c r="D5" s="1">
        <v>4</v>
      </c>
      <c r="E5" s="1">
        <f t="shared" ref="E5:E8" si="2">E4+D5</f>
        <v>12</v>
      </c>
      <c r="F5" s="29">
        <f t="shared" si="0"/>
        <v>1371386.5</v>
      </c>
      <c r="G5" s="29">
        <f t="shared" si="1"/>
        <v>5485546</v>
      </c>
    </row>
    <row r="6" spans="1:7" x14ac:dyDescent="0.4">
      <c r="A6" s="42">
        <v>1378912</v>
      </c>
      <c r="B6" s="1" t="s">
        <v>68</v>
      </c>
      <c r="C6" s="42">
        <v>1393961</v>
      </c>
      <c r="D6" s="1">
        <v>4</v>
      </c>
      <c r="E6" s="1">
        <f t="shared" si="2"/>
        <v>16</v>
      </c>
      <c r="F6" s="29">
        <f t="shared" si="0"/>
        <v>1386436.5</v>
      </c>
      <c r="G6" s="29">
        <f t="shared" si="1"/>
        <v>5545746</v>
      </c>
    </row>
    <row r="7" spans="1:7" x14ac:dyDescent="0.4">
      <c r="A7" s="42">
        <v>1393962</v>
      </c>
      <c r="B7" s="1" t="s">
        <v>68</v>
      </c>
      <c r="C7" s="42">
        <v>1409011</v>
      </c>
      <c r="D7" s="1">
        <v>4</v>
      </c>
      <c r="E7" s="1">
        <f t="shared" si="2"/>
        <v>20</v>
      </c>
      <c r="F7" s="29">
        <f t="shared" si="0"/>
        <v>1401486.5</v>
      </c>
      <c r="G7" s="29">
        <f t="shared" si="1"/>
        <v>5605946</v>
      </c>
    </row>
    <row r="8" spans="1:7" x14ac:dyDescent="0.4">
      <c r="A8" s="42">
        <v>1409012</v>
      </c>
      <c r="B8" s="1" t="s">
        <v>68</v>
      </c>
      <c r="C8" s="42">
        <v>1424061</v>
      </c>
      <c r="D8" s="1">
        <v>4</v>
      </c>
      <c r="E8" s="1">
        <f t="shared" si="2"/>
        <v>24</v>
      </c>
      <c r="F8" s="29">
        <f t="shared" si="0"/>
        <v>1416536.5</v>
      </c>
      <c r="G8" s="29">
        <f t="shared" si="1"/>
        <v>5666146</v>
      </c>
    </row>
    <row r="9" spans="1:7" x14ac:dyDescent="0.4">
      <c r="B9" s="18"/>
      <c r="D9" s="30">
        <f>SUM(D3:D8)</f>
        <v>24</v>
      </c>
      <c r="G9" s="43">
        <f>SUM(G3:G8)</f>
        <v>33078826</v>
      </c>
    </row>
    <row r="10" spans="1:7" x14ac:dyDescent="0.4">
      <c r="B10" s="18"/>
      <c r="D10" s="56"/>
    </row>
    <row r="11" spans="1:7" x14ac:dyDescent="0.4">
      <c r="B11" s="18"/>
    </row>
    <row r="12" spans="1:7" x14ac:dyDescent="0.4">
      <c r="B12" s="45" t="s">
        <v>70</v>
      </c>
      <c r="C12" s="1">
        <f>G9/D9</f>
        <v>1378284.4166666667</v>
      </c>
    </row>
    <row r="13" spans="1:7" x14ac:dyDescent="0.4">
      <c r="B13" s="45" t="s">
        <v>71</v>
      </c>
      <c r="C13" s="44">
        <f>(A5-0.5)+15049.5*(((D9/2)-E4)/D5)</f>
        <v>1378911</v>
      </c>
    </row>
    <row r="14" spans="1:7" x14ac:dyDescent="0.4">
      <c r="B14" s="45" t="s">
        <v>72</v>
      </c>
      <c r="C14" s="1">
        <f>(A3-0.5)+15049.5*(5/(5+8))</f>
        <v>1339549.7692307692</v>
      </c>
    </row>
    <row r="15" spans="1:7" x14ac:dyDescent="0.4">
      <c r="B15" s="45" t="s">
        <v>78</v>
      </c>
      <c r="C15" s="1">
        <f>MAX(Lembar1!F7:F30)</f>
        <v>1424059</v>
      </c>
    </row>
    <row r="16" spans="1:7" x14ac:dyDescent="0.4">
      <c r="B16" s="45" t="s">
        <v>79</v>
      </c>
      <c r="C16" s="1">
        <f>MIN(Lembar1!F7:F30)</f>
        <v>1333762</v>
      </c>
    </row>
    <row r="17" spans="2:3" x14ac:dyDescent="0.4">
      <c r="B17" s="45" t="s">
        <v>73</v>
      </c>
      <c r="C17" s="1">
        <f>C15-C16</f>
        <v>90297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DETAILPER TARIF</vt:lpstr>
      <vt:lpstr>Lembar1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MUH. RAIHAN HUDA NEGARA</dc:creator>
  <cp:lastModifiedBy>SYAKIRA SALSABILA</cp:lastModifiedBy>
  <dcterms:created xsi:type="dcterms:W3CDTF">2026-06-19T02:32:43Z</dcterms:created>
  <dcterms:modified xsi:type="dcterms:W3CDTF">2026-06-24T06:10:07Z</dcterms:modified>
</cp:coreProperties>
</file>